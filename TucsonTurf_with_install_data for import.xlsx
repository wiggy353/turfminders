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62e4b9aa4771126/Desktop/Dev/turfminders/"/>
    </mc:Choice>
  </mc:AlternateContent>
  <xr:revisionPtr revIDLastSave="100" documentId="8_{0895418F-919D-4DA8-8D51-FCA5E85D1530}" xr6:coauthVersionLast="47" xr6:coauthVersionMax="47" xr10:uidLastSave="{CC81F857-B540-4213-B0E2-7ACE74123BCB}"/>
  <bookViews>
    <workbookView xWindow="2868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c r="K101" i="1" a="1"/>
  <c r="K101" i="1"/>
  <c r="K102" i="1" a="1"/>
  <c r="K102" i="1"/>
  <c r="K105" i="1" a="1"/>
  <c r="K105" i="1"/>
  <c r="K106" i="1" a="1"/>
  <c r="K106" i="1"/>
  <c r="K107" i="1" a="1"/>
  <c r="K107" i="1"/>
  <c r="K108" i="1" a="1"/>
  <c r="K108" i="1"/>
  <c r="K109" i="1" a="1"/>
  <c r="K109" i="1"/>
  <c r="K110" i="1" a="1"/>
  <c r="K110" i="1"/>
  <c r="K111" i="1" a="1"/>
  <c r="K111" i="1"/>
  <c r="K112" i="1" a="1"/>
  <c r="K112" i="1"/>
  <c r="K113" i="1" a="1"/>
  <c r="K113" i="1"/>
  <c r="K114" i="1" a="1"/>
  <c r="K114"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8" i="1"/>
  <c r="J109" i="1"/>
  <c r="J110" i="1"/>
  <c r="J111" i="1"/>
  <c r="J112" i="1"/>
  <c r="J113" i="1"/>
  <c r="J114" i="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5" i="1" a="1"/>
  <c r="I105" i="1" s="1"/>
  <c r="I106" i="1" a="1"/>
  <c r="I106" i="1" s="1"/>
  <c r="I108" i="1" a="1"/>
  <c r="I108" i="1" s="1"/>
  <c r="I109" i="1" a="1"/>
  <c r="I109" i="1" s="1"/>
  <c r="I110" i="1" a="1"/>
  <c r="I110" i="1" s="1"/>
  <c r="I111" i="1" a="1"/>
  <c r="I111" i="1" s="1"/>
  <c r="I112" i="1" a="1"/>
  <c r="I112" i="1" s="1"/>
  <c r="I113" i="1" a="1"/>
  <c r="I113" i="1" s="1"/>
  <c r="I114" i="1" a="1"/>
  <c r="I114"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5" i="1" a="1"/>
  <c r="H105" i="1" s="1"/>
  <c r="H106" i="1" a="1"/>
  <c r="H106" i="1" s="1"/>
  <c r="H108" i="1" a="1"/>
  <c r="H108" i="1" s="1"/>
  <c r="H109" i="1" a="1"/>
  <c r="H109" i="1" s="1"/>
  <c r="H110" i="1" a="1"/>
  <c r="H110" i="1" s="1"/>
  <c r="H111" i="1" a="1"/>
  <c r="H111" i="1" s="1"/>
  <c r="H112" i="1" a="1"/>
  <c r="H112" i="1" s="1"/>
  <c r="H113" i="1" a="1"/>
  <c r="H113" i="1" s="1"/>
  <c r="H114" i="1" a="1"/>
  <c r="H114" i="1" s="1"/>
  <c r="K2" i="1" a="1"/>
  <c r="K2" i="1" s="1"/>
  <c r="J2" i="1"/>
  <c r="I2" i="1" a="1"/>
  <c r="I2" i="1" s="1"/>
  <c r="H2" i="1" a="1"/>
  <c r="H2" i="1" s="1"/>
  <c r="B10" i="1" a="1"/>
  <c r="B10" i="1" s="1"/>
  <c r="B11" i="1" a="1"/>
  <c r="B11" i="1" s="1"/>
  <c r="B12" i="1" a="1"/>
  <c r="B12" i="1" s="1"/>
  <c r="B13" i="1" a="1"/>
  <c r="B13" i="1" s="1"/>
  <c r="B14" i="1" a="1"/>
  <c r="B14" i="1" s="1"/>
  <c r="B16" i="1" a="1"/>
  <c r="B16" i="1" s="1"/>
  <c r="B17" i="1" a="1"/>
  <c r="B17" i="1" s="1"/>
  <c r="B18" i="1" a="1"/>
  <c r="B18" i="1" s="1"/>
  <c r="B19" i="1" a="1"/>
  <c r="B19" i="1" s="1"/>
  <c r="B20" i="1" a="1"/>
  <c r="B20" i="1" s="1"/>
  <c r="B21" i="1" a="1"/>
  <c r="B21" i="1" s="1"/>
  <c r="B22" i="1" a="1"/>
  <c r="B22" i="1" s="1"/>
  <c r="B23" i="1" a="1"/>
  <c r="B23" i="1" s="1"/>
  <c r="B24" i="1" a="1"/>
  <c r="B24" i="1" s="1"/>
  <c r="B26" i="1" a="1"/>
  <c r="B26"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8" i="1" a="1"/>
  <c r="B48" i="1" s="1"/>
  <c r="B49" i="1" a="1"/>
  <c r="B49" i="1" s="1"/>
  <c r="B50" i="1" a="1"/>
  <c r="B50" i="1" s="1"/>
  <c r="B51" i="1" a="1"/>
  <c r="B51" i="1" s="1"/>
  <c r="B52" i="1" a="1"/>
  <c r="B52" i="1" s="1"/>
  <c r="B53" i="1" a="1"/>
  <c r="B53" i="1" s="1"/>
  <c r="B55" i="1" a="1"/>
  <c r="B55" i="1" s="1"/>
  <c r="B56" i="1" a="1"/>
  <c r="B56" i="1" s="1"/>
  <c r="B57" i="1" a="1"/>
  <c r="B57" i="1" s="1"/>
  <c r="B58" i="1" a="1"/>
  <c r="B58" i="1" s="1"/>
  <c r="B60" i="1" a="1"/>
  <c r="B60" i="1" s="1"/>
  <c r="B61" i="1" a="1"/>
  <c r="B61" i="1" s="1"/>
  <c r="B62" i="1" a="1"/>
  <c r="B62" i="1" s="1"/>
  <c r="B63" i="1" a="1"/>
  <c r="B63" i="1" s="1"/>
  <c r="B64" i="1" a="1"/>
  <c r="B64" i="1" s="1"/>
  <c r="B65" i="1" a="1"/>
  <c r="B65" i="1" s="1"/>
  <c r="B66" i="1" a="1"/>
  <c r="B66" i="1" s="1"/>
  <c r="B70" i="1" a="1"/>
  <c r="B70" i="1" s="1"/>
  <c r="B71" i="1" a="1"/>
  <c r="B71" i="1" s="1"/>
  <c r="B72" i="1" a="1"/>
  <c r="B72" i="1" s="1"/>
  <c r="B73" i="1" a="1"/>
  <c r="B73" i="1" s="1"/>
  <c r="B74" i="1" a="1"/>
  <c r="B74" i="1" s="1"/>
  <c r="B75" i="1" a="1"/>
  <c r="B75"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7" i="1" a="1"/>
  <c r="B97" i="1" s="1"/>
  <c r="B98" i="1" a="1"/>
  <c r="B98" i="1" s="1"/>
  <c r="B99" i="1" a="1"/>
  <c r="B99" i="1" s="1"/>
  <c r="B100" i="1" a="1"/>
  <c r="B100" i="1" s="1"/>
  <c r="B102" i="1" a="1"/>
  <c r="B102" i="1" s="1"/>
  <c r="B103" i="1" a="1"/>
  <c r="B103" i="1" s="1"/>
  <c r="B104" i="1" a="1"/>
  <c r="B104" i="1" s="1"/>
  <c r="B105" i="1" a="1"/>
  <c r="B105" i="1" s="1"/>
  <c r="B107" i="1" a="1"/>
  <c r="B107" i="1" s="1"/>
  <c r="B108" i="1" a="1"/>
  <c r="B108" i="1" s="1"/>
  <c r="B109" i="1" a="1"/>
  <c r="B109" i="1" s="1"/>
  <c r="B110" i="1" a="1"/>
  <c r="B110" i="1" s="1"/>
  <c r="B111" i="1" a="1"/>
  <c r="B111" i="1" s="1"/>
  <c r="B112" i="1" a="1"/>
  <c r="B112" i="1" s="1"/>
  <c r="B113" i="1" a="1"/>
  <c r="B113" i="1" s="1"/>
  <c r="B114" i="1" a="1"/>
  <c r="B114" i="1" s="1"/>
  <c r="B3" i="1" a="1"/>
  <c r="B3" i="1" s="1"/>
  <c r="B4" i="1" a="1"/>
  <c r="B4" i="1" s="1"/>
  <c r="B5" i="1" a="1"/>
  <c r="B5" i="1" s="1"/>
  <c r="B6" i="1" a="1"/>
  <c r="B6" i="1" s="1"/>
  <c r="B7" i="1" a="1"/>
  <c r="B7" i="1" s="1"/>
  <c r="B8" i="1" a="1"/>
  <c r="B8" i="1" s="1"/>
  <c r="B9" i="1" a="1"/>
  <c r="B9" i="1" s="1"/>
  <c r="B2" i="1" a="1"/>
  <c r="B2" i="1" s="1"/>
  <c r="N3" i="1"/>
  <c r="O3" i="1"/>
  <c r="P3" i="1"/>
  <c r="Q3" i="1"/>
  <c r="R3" i="1"/>
  <c r="N4" i="1"/>
  <c r="O4" i="1"/>
  <c r="P4" i="1"/>
  <c r="Q4" i="1"/>
  <c r="R4" i="1"/>
  <c r="N5" i="1"/>
  <c r="O5" i="1"/>
  <c r="P5" i="1"/>
  <c r="Q5" i="1"/>
  <c r="R5" i="1"/>
  <c r="N6" i="1"/>
  <c r="O6" i="1"/>
  <c r="P6" i="1"/>
  <c r="Q6" i="1"/>
  <c r="R6" i="1"/>
  <c r="N7" i="1"/>
  <c r="O7" i="1"/>
  <c r="P7" i="1"/>
  <c r="Q7" i="1"/>
  <c r="R7" i="1"/>
  <c r="N8" i="1"/>
  <c r="O8" i="1"/>
  <c r="P8" i="1"/>
  <c r="Q8" i="1"/>
  <c r="R8" i="1"/>
  <c r="N9" i="1"/>
  <c r="O9" i="1"/>
  <c r="P9" i="1"/>
  <c r="Q9" i="1"/>
  <c r="R9" i="1"/>
  <c r="N10" i="1"/>
  <c r="O10" i="1"/>
  <c r="P10" i="1"/>
  <c r="Q10" i="1"/>
  <c r="R10" i="1"/>
  <c r="N11" i="1"/>
  <c r="O11" i="1"/>
  <c r="P11" i="1"/>
  <c r="Q11" i="1"/>
  <c r="R11" i="1"/>
  <c r="N12" i="1"/>
  <c r="O12" i="1"/>
  <c r="P12" i="1"/>
  <c r="Q12" i="1"/>
  <c r="R12" i="1"/>
  <c r="N13" i="1"/>
  <c r="O13" i="1"/>
  <c r="P13" i="1"/>
  <c r="Q13" i="1"/>
  <c r="R13" i="1"/>
  <c r="N14" i="1"/>
  <c r="O14" i="1"/>
  <c r="P14" i="1"/>
  <c r="Q14" i="1"/>
  <c r="R14" i="1"/>
  <c r="N15" i="1"/>
  <c r="O15" i="1"/>
  <c r="P15" i="1"/>
  <c r="Q15" i="1"/>
  <c r="R15" i="1"/>
  <c r="N16" i="1"/>
  <c r="O16" i="1"/>
  <c r="P16" i="1"/>
  <c r="Q16" i="1"/>
  <c r="R16" i="1"/>
  <c r="N17" i="1"/>
  <c r="O17" i="1"/>
  <c r="P17" i="1"/>
  <c r="Q17" i="1"/>
  <c r="R17" i="1"/>
  <c r="N18" i="1"/>
  <c r="O18" i="1"/>
  <c r="P18" i="1"/>
  <c r="Q18" i="1"/>
  <c r="R18" i="1"/>
  <c r="N19" i="1"/>
  <c r="O19" i="1"/>
  <c r="P19" i="1"/>
  <c r="Q19" i="1"/>
  <c r="R19" i="1"/>
  <c r="N20" i="1"/>
  <c r="O20" i="1"/>
  <c r="P20" i="1"/>
  <c r="Q20" i="1"/>
  <c r="R20" i="1"/>
  <c r="N21" i="1"/>
  <c r="O21" i="1"/>
  <c r="P21" i="1"/>
  <c r="Q21" i="1"/>
  <c r="R21" i="1"/>
  <c r="N22" i="1"/>
  <c r="O22" i="1"/>
  <c r="P22" i="1"/>
  <c r="Q22" i="1"/>
  <c r="R22" i="1"/>
  <c r="N23" i="1"/>
  <c r="O23" i="1"/>
  <c r="P23" i="1"/>
  <c r="Q23" i="1"/>
  <c r="R23" i="1"/>
  <c r="N24" i="1"/>
  <c r="O24" i="1"/>
  <c r="P24" i="1"/>
  <c r="Q24" i="1"/>
  <c r="R24" i="1"/>
  <c r="N25" i="1"/>
  <c r="O25" i="1"/>
  <c r="P25" i="1"/>
  <c r="Q25" i="1"/>
  <c r="R25" i="1"/>
  <c r="N26" i="1"/>
  <c r="O26" i="1"/>
  <c r="P26" i="1"/>
  <c r="Q26" i="1"/>
  <c r="R26" i="1"/>
  <c r="N27" i="1"/>
  <c r="O27" i="1"/>
  <c r="P27" i="1"/>
  <c r="Q27" i="1"/>
  <c r="R27" i="1"/>
  <c r="N28" i="1"/>
  <c r="O28" i="1"/>
  <c r="P28" i="1"/>
  <c r="Q28" i="1"/>
  <c r="R28" i="1"/>
  <c r="N29" i="1"/>
  <c r="O29" i="1"/>
  <c r="P29" i="1"/>
  <c r="Q29" i="1"/>
  <c r="R29" i="1"/>
  <c r="N30" i="1"/>
  <c r="O30" i="1"/>
  <c r="P30" i="1"/>
  <c r="Q30" i="1"/>
  <c r="R30" i="1"/>
  <c r="N31" i="1"/>
  <c r="O31" i="1"/>
  <c r="P31" i="1"/>
  <c r="Q31" i="1"/>
  <c r="R31" i="1"/>
  <c r="N32" i="1"/>
  <c r="O32" i="1"/>
  <c r="P32" i="1"/>
  <c r="Q32" i="1"/>
  <c r="R32" i="1"/>
  <c r="N33" i="1"/>
  <c r="O33" i="1"/>
  <c r="P33" i="1"/>
  <c r="Q33" i="1"/>
  <c r="R33" i="1"/>
  <c r="N34" i="1"/>
  <c r="O34" i="1"/>
  <c r="P34" i="1"/>
  <c r="Q34" i="1"/>
  <c r="R34" i="1"/>
  <c r="N35" i="1"/>
  <c r="O35" i="1"/>
  <c r="P35" i="1"/>
  <c r="Q35" i="1"/>
  <c r="R35" i="1"/>
  <c r="N36" i="1"/>
  <c r="O36" i="1"/>
  <c r="P36" i="1"/>
  <c r="Q36" i="1"/>
  <c r="R36" i="1"/>
  <c r="N37" i="1"/>
  <c r="O37" i="1"/>
  <c r="P37" i="1"/>
  <c r="Q37" i="1"/>
  <c r="R37" i="1"/>
  <c r="N38" i="1"/>
  <c r="O38" i="1"/>
  <c r="P38" i="1"/>
  <c r="Q38" i="1"/>
  <c r="R38" i="1"/>
  <c r="N39" i="1"/>
  <c r="O39" i="1"/>
  <c r="P39" i="1"/>
  <c r="Q39" i="1"/>
  <c r="R39" i="1"/>
  <c r="N40" i="1"/>
  <c r="O40" i="1"/>
  <c r="P40" i="1"/>
  <c r="Q40" i="1"/>
  <c r="R40" i="1"/>
  <c r="N41" i="1"/>
  <c r="O41" i="1"/>
  <c r="P41" i="1"/>
  <c r="Q41" i="1"/>
  <c r="R41" i="1"/>
  <c r="N42" i="1"/>
  <c r="O42" i="1"/>
  <c r="P42" i="1"/>
  <c r="Q42" i="1"/>
  <c r="R42" i="1"/>
  <c r="N43" i="1"/>
  <c r="O43" i="1"/>
  <c r="P43" i="1"/>
  <c r="Q43" i="1"/>
  <c r="R43" i="1"/>
  <c r="N44" i="1"/>
  <c r="O44" i="1"/>
  <c r="P44" i="1"/>
  <c r="Q44" i="1"/>
  <c r="R44" i="1"/>
  <c r="N45" i="1"/>
  <c r="O45" i="1"/>
  <c r="P45" i="1"/>
  <c r="Q45" i="1"/>
  <c r="R45" i="1"/>
  <c r="N46" i="1"/>
  <c r="O46" i="1"/>
  <c r="P46" i="1"/>
  <c r="Q46" i="1"/>
  <c r="R46" i="1"/>
  <c r="N47" i="1"/>
  <c r="O47" i="1"/>
  <c r="P47" i="1"/>
  <c r="Q47" i="1"/>
  <c r="R47" i="1"/>
  <c r="N48" i="1"/>
  <c r="O48" i="1"/>
  <c r="P48" i="1"/>
  <c r="Q48" i="1"/>
  <c r="R48" i="1"/>
  <c r="N49" i="1"/>
  <c r="O49" i="1"/>
  <c r="P49" i="1"/>
  <c r="Q49" i="1"/>
  <c r="R49" i="1"/>
  <c r="N50" i="1"/>
  <c r="O50" i="1"/>
  <c r="P50" i="1"/>
  <c r="Q50" i="1"/>
  <c r="R50" i="1"/>
  <c r="N51" i="1"/>
  <c r="O51" i="1"/>
  <c r="P51" i="1"/>
  <c r="Q51" i="1"/>
  <c r="R51" i="1"/>
  <c r="N52" i="1"/>
  <c r="O52" i="1"/>
  <c r="P52" i="1"/>
  <c r="Q52" i="1"/>
  <c r="R52" i="1"/>
  <c r="N53" i="1"/>
  <c r="O53" i="1"/>
  <c r="P53" i="1"/>
  <c r="Q53" i="1"/>
  <c r="R53" i="1"/>
  <c r="N54" i="1"/>
  <c r="O54" i="1"/>
  <c r="P54" i="1"/>
  <c r="Q54" i="1"/>
  <c r="R54" i="1"/>
  <c r="N55" i="1"/>
  <c r="O55" i="1"/>
  <c r="P55" i="1"/>
  <c r="Q55" i="1"/>
  <c r="R55" i="1"/>
  <c r="N56" i="1"/>
  <c r="O56" i="1"/>
  <c r="P56" i="1"/>
  <c r="Q56" i="1"/>
  <c r="R56" i="1"/>
  <c r="N57" i="1"/>
  <c r="O57" i="1"/>
  <c r="P57" i="1"/>
  <c r="Q57" i="1"/>
  <c r="R57" i="1"/>
  <c r="N58" i="1"/>
  <c r="O58" i="1"/>
  <c r="P58" i="1"/>
  <c r="Q58" i="1"/>
  <c r="R58" i="1"/>
  <c r="N59" i="1"/>
  <c r="O59" i="1"/>
  <c r="P59" i="1"/>
  <c r="Q59" i="1"/>
  <c r="R59" i="1"/>
  <c r="N60" i="1"/>
  <c r="O60" i="1"/>
  <c r="P60" i="1"/>
  <c r="Q60" i="1"/>
  <c r="R60" i="1"/>
  <c r="N61" i="1"/>
  <c r="O61" i="1"/>
  <c r="P61" i="1"/>
  <c r="Q61" i="1"/>
  <c r="R61" i="1"/>
  <c r="N62" i="1"/>
  <c r="O62" i="1"/>
  <c r="P62" i="1"/>
  <c r="Q62" i="1"/>
  <c r="R62" i="1"/>
  <c r="N63" i="1"/>
  <c r="O63" i="1"/>
  <c r="P63" i="1"/>
  <c r="Q63" i="1"/>
  <c r="R63" i="1"/>
  <c r="N64" i="1"/>
  <c r="O64" i="1"/>
  <c r="P64" i="1"/>
  <c r="Q64" i="1"/>
  <c r="R64" i="1"/>
  <c r="N65" i="1"/>
  <c r="O65" i="1"/>
  <c r="P65" i="1"/>
  <c r="Q65" i="1"/>
  <c r="R65" i="1"/>
  <c r="N66" i="1"/>
  <c r="O66" i="1"/>
  <c r="P66" i="1"/>
  <c r="Q66" i="1"/>
  <c r="R66" i="1"/>
  <c r="N67" i="1"/>
  <c r="O67" i="1"/>
  <c r="P67" i="1"/>
  <c r="Q67" i="1"/>
  <c r="R67" i="1"/>
  <c r="N68" i="1"/>
  <c r="O68" i="1"/>
  <c r="P68" i="1"/>
  <c r="Q68" i="1"/>
  <c r="R68" i="1"/>
  <c r="N69" i="1"/>
  <c r="O69" i="1"/>
  <c r="P69" i="1"/>
  <c r="Q69" i="1"/>
  <c r="R69" i="1"/>
  <c r="N70" i="1"/>
  <c r="O70" i="1"/>
  <c r="P70" i="1"/>
  <c r="Q70" i="1"/>
  <c r="R70" i="1"/>
  <c r="N71" i="1"/>
  <c r="O71" i="1"/>
  <c r="P71" i="1"/>
  <c r="Q71" i="1"/>
  <c r="R71" i="1"/>
  <c r="N72" i="1"/>
  <c r="O72" i="1"/>
  <c r="P72" i="1"/>
  <c r="Q72" i="1"/>
  <c r="R72" i="1"/>
  <c r="N73" i="1"/>
  <c r="O73" i="1"/>
  <c r="P73" i="1"/>
  <c r="Q73" i="1"/>
  <c r="R73" i="1"/>
  <c r="N74" i="1"/>
  <c r="O74" i="1"/>
  <c r="P74" i="1"/>
  <c r="Q74" i="1"/>
  <c r="R74" i="1"/>
  <c r="N75" i="1"/>
  <c r="O75" i="1"/>
  <c r="P75" i="1"/>
  <c r="Q75" i="1"/>
  <c r="R75" i="1"/>
  <c r="N76" i="1"/>
  <c r="O76" i="1"/>
  <c r="P76" i="1"/>
  <c r="Q76" i="1"/>
  <c r="R76" i="1"/>
  <c r="N77" i="1"/>
  <c r="O77" i="1"/>
  <c r="P77" i="1"/>
  <c r="Q77" i="1"/>
  <c r="R77" i="1"/>
  <c r="N78" i="1"/>
  <c r="O78" i="1"/>
  <c r="P78" i="1"/>
  <c r="Q78" i="1"/>
  <c r="R78" i="1"/>
  <c r="N79" i="1"/>
  <c r="O79" i="1"/>
  <c r="P79" i="1"/>
  <c r="Q79" i="1"/>
  <c r="R79" i="1"/>
  <c r="N80" i="1"/>
  <c r="O80" i="1"/>
  <c r="P80" i="1"/>
  <c r="Q80" i="1"/>
  <c r="R80" i="1"/>
  <c r="N81" i="1"/>
  <c r="O81" i="1"/>
  <c r="P81" i="1"/>
  <c r="Q81" i="1"/>
  <c r="R81" i="1"/>
  <c r="N82" i="1"/>
  <c r="O82" i="1"/>
  <c r="P82" i="1"/>
  <c r="Q82" i="1"/>
  <c r="R82" i="1"/>
  <c r="N83" i="1"/>
  <c r="O83" i="1"/>
  <c r="P83" i="1"/>
  <c r="Q83" i="1"/>
  <c r="R83" i="1"/>
  <c r="N84" i="1"/>
  <c r="O84" i="1"/>
  <c r="P84" i="1"/>
  <c r="Q84" i="1"/>
  <c r="R84" i="1"/>
  <c r="N85" i="1"/>
  <c r="O85" i="1"/>
  <c r="P85" i="1"/>
  <c r="Q85" i="1"/>
  <c r="R85" i="1"/>
  <c r="N86" i="1"/>
  <c r="O86" i="1"/>
  <c r="P86" i="1"/>
  <c r="Q86" i="1"/>
  <c r="R86" i="1"/>
  <c r="N87" i="1"/>
  <c r="O87" i="1"/>
  <c r="P87" i="1"/>
  <c r="Q87" i="1"/>
  <c r="R87" i="1"/>
  <c r="N88" i="1"/>
  <c r="O88" i="1"/>
  <c r="P88" i="1"/>
  <c r="Q88" i="1"/>
  <c r="R88" i="1"/>
  <c r="N89" i="1"/>
  <c r="O89" i="1"/>
  <c r="P89" i="1"/>
  <c r="Q89" i="1"/>
  <c r="R89" i="1"/>
  <c r="N90" i="1"/>
  <c r="O90" i="1"/>
  <c r="P90" i="1"/>
  <c r="Q90" i="1"/>
  <c r="R90" i="1"/>
  <c r="N91" i="1"/>
  <c r="O91" i="1"/>
  <c r="P91" i="1"/>
  <c r="Q91" i="1"/>
  <c r="R91" i="1"/>
  <c r="N92" i="1"/>
  <c r="O92" i="1"/>
  <c r="P92" i="1"/>
  <c r="Q92" i="1"/>
  <c r="R92" i="1"/>
  <c r="N93" i="1"/>
  <c r="O93" i="1"/>
  <c r="P93" i="1"/>
  <c r="Q93" i="1"/>
  <c r="R93" i="1"/>
  <c r="N94" i="1"/>
  <c r="O94" i="1"/>
  <c r="P94" i="1"/>
  <c r="Q94" i="1"/>
  <c r="R94" i="1"/>
  <c r="N95" i="1"/>
  <c r="O95" i="1"/>
  <c r="P95" i="1"/>
  <c r="Q95" i="1"/>
  <c r="R95" i="1"/>
  <c r="N96" i="1"/>
  <c r="O96" i="1"/>
  <c r="P96" i="1"/>
  <c r="Q96" i="1"/>
  <c r="R96" i="1"/>
  <c r="N97" i="1"/>
  <c r="O97" i="1"/>
  <c r="P97" i="1"/>
  <c r="Q97" i="1"/>
  <c r="R97" i="1"/>
  <c r="N98" i="1"/>
  <c r="O98" i="1"/>
  <c r="P98" i="1"/>
  <c r="Q98" i="1"/>
  <c r="R98" i="1"/>
  <c r="N99" i="1"/>
  <c r="O99" i="1"/>
  <c r="P99" i="1"/>
  <c r="Q99" i="1"/>
  <c r="R99" i="1"/>
  <c r="N100" i="1"/>
  <c r="O100" i="1"/>
  <c r="P100" i="1"/>
  <c r="Q100" i="1"/>
  <c r="R100" i="1"/>
  <c r="N101" i="1"/>
  <c r="O101" i="1"/>
  <c r="P101" i="1"/>
  <c r="Q101" i="1"/>
  <c r="R101" i="1"/>
  <c r="N102" i="1"/>
  <c r="O102" i="1"/>
  <c r="P102" i="1"/>
  <c r="Q102" i="1"/>
  <c r="R102" i="1"/>
  <c r="N103" i="1"/>
  <c r="O103" i="1"/>
  <c r="P103" i="1"/>
  <c r="Q103" i="1"/>
  <c r="R103" i="1"/>
  <c r="N104" i="1"/>
  <c r="O104" i="1"/>
  <c r="P104" i="1"/>
  <c r="Q104" i="1"/>
  <c r="R104" i="1"/>
  <c r="N105" i="1"/>
  <c r="O105" i="1"/>
  <c r="P105" i="1"/>
  <c r="Q105" i="1"/>
  <c r="R105" i="1"/>
  <c r="N106" i="1"/>
  <c r="O106" i="1"/>
  <c r="P106" i="1"/>
  <c r="Q106" i="1"/>
  <c r="R106" i="1"/>
  <c r="N107" i="1"/>
  <c r="O107" i="1"/>
  <c r="P107" i="1"/>
  <c r="Q107" i="1"/>
  <c r="R107" i="1"/>
  <c r="N108" i="1"/>
  <c r="O108" i="1"/>
  <c r="P108" i="1"/>
  <c r="Q108" i="1"/>
  <c r="R108" i="1"/>
  <c r="N109" i="1"/>
  <c r="O109" i="1"/>
  <c r="P109" i="1"/>
  <c r="Q109" i="1"/>
  <c r="R109" i="1"/>
  <c r="N110" i="1"/>
  <c r="O110" i="1"/>
  <c r="P110" i="1"/>
  <c r="Q110" i="1"/>
  <c r="R110" i="1"/>
  <c r="N111" i="1"/>
  <c r="O111" i="1"/>
  <c r="P111" i="1"/>
  <c r="Q111" i="1"/>
  <c r="R111" i="1"/>
  <c r="N112" i="1"/>
  <c r="O112" i="1"/>
  <c r="P112" i="1"/>
  <c r="Q112" i="1"/>
  <c r="R112" i="1"/>
  <c r="N113" i="1"/>
  <c r="O113" i="1"/>
  <c r="P113" i="1"/>
  <c r="Q113" i="1"/>
  <c r="R113" i="1"/>
  <c r="N114" i="1"/>
  <c r="O114" i="1"/>
  <c r="P114" i="1"/>
  <c r="Q114" i="1"/>
  <c r="R114" i="1"/>
  <c r="R2" i="1"/>
  <c r="Q2" i="1"/>
  <c r="P2" i="1"/>
  <c r="O2" i="1"/>
  <c r="N2" i="1"/>
  <c r="N115" i="1" l="1"/>
  <c r="O115" i="1"/>
  <c r="P115" i="1"/>
  <c r="Q115" i="1"/>
  <c r="R11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<sst xmlns="http://schemas.openxmlformats.org/spreadsheetml/2006/main" count="969" uniqueCount="786">
  <si>
    <t>Customer full name</t>
  </si>
  <si>
    <t>Phone numbers</t>
  </si>
  <si>
    <t>Email</t>
  </si>
  <si>
    <t>Full name</t>
  </si>
  <si>
    <t>Bill address</t>
  </si>
  <si>
    <t>Ship address</t>
  </si>
  <si>
    <t>Install Date</t>
  </si>
  <si>
    <t>Square Footage</t>
  </si>
  <si>
    <t>Notes</t>
  </si>
  <si>
    <t>Score</t>
  </si>
  <si>
    <t>Abbott, Billie</t>
  </si>
  <si>
    <t>Mobile:(720) 635-6250</t>
  </si>
  <si>
    <t>babbott163@gmail.com</t>
  </si>
  <si>
    <t>Billie  Abbott</t>
  </si>
  <si>
    <t>8701 S. Kolb Rd. #298 Tucson AZ 85756</t>
  </si>
  <si>
    <t>2016-10-03 00:00:00</t>
  </si>
  <si>
    <t>150</t>
  </si>
  <si>
    <t>*150 sq ft Ventana Mesquite Light glue down
Voyager RV   Per Jimmie request to schedule with Quinn job.</t>
  </si>
  <si>
    <t>Abravaya, Gary</t>
  </si>
  <si>
    <t>Mobile:780-7637</t>
  </si>
  <si>
    <t>garyabravaya@gmail.com</t>
  </si>
  <si>
    <t>Gary  Abravaya</t>
  </si>
  <si>
    <t>11693 N. Peaceful Night Rd. Oro Valley AZ 85737</t>
  </si>
  <si>
    <t>2016-07-25 00:00:00</t>
  </si>
  <si>
    <t>890</t>
  </si>
  <si>
    <t>*890 sq ft Diamond Spring Pro; sod removal; add Zeofill
La Canada/Tangerine;  TURF EST for approx. 800 sq ft of existing sod.  W.B. 6/9</t>
  </si>
  <si>
    <t>Adkinson, Frederica</t>
  </si>
  <si>
    <t>Mobile:760-0807</t>
  </si>
  <si>
    <t>freditaa@gmail.com</t>
  </si>
  <si>
    <t>Frederica  Adkinson</t>
  </si>
  <si>
    <t>12050 E. Snyder Tucson AZ 85749</t>
  </si>
  <si>
    <t>2016-06-20 00:00:00</t>
  </si>
  <si>
    <t>840</t>
  </si>
  <si>
    <t xml:space="preserve">*840 sq ft Ventana Mesquite Light
Snyder/Soldier Trail; TURF EST for unknown area.  W.B. 5/18
</t>
  </si>
  <si>
    <t>AIRES, LLC</t>
  </si>
  <si>
    <t xml:space="preserve">Phone:602-995-3591 x1700 </t>
  </si>
  <si>
    <t>MLangschwager@aires.org</t>
  </si>
  <si>
    <t>925 E. Fort Lowell Rd. Tucson AZ 85719</t>
  </si>
  <si>
    <t>2016-09-13 00:00:00</t>
  </si>
  <si>
    <t>555</t>
  </si>
  <si>
    <t xml:space="preserve">*555 sq ft Ventana Mesquite Light
Ft. Lowell/1st Ave. </t>
  </si>
  <si>
    <t>Alter, Warren</t>
  </si>
  <si>
    <t>Mobile:465-4015</t>
  </si>
  <si>
    <t>warrenalter@cox.net</t>
  </si>
  <si>
    <t>Warren  Alter</t>
  </si>
  <si>
    <t>6743 E. Rosewood Pl. Tucson AZ 85710</t>
  </si>
  <si>
    <t>2016-08-09 00:00:00</t>
  </si>
  <si>
    <t>900</t>
  </si>
  <si>
    <t>*900 sq ft Ventana Spring Light; remove pavers/river rock and use 1/2 river rock to border turf
Speedway/Kolb;  TURF EST for backyard.  W.B. 5/27
warrenalter@cox.net</t>
  </si>
  <si>
    <t>Armour, Diana</t>
  </si>
  <si>
    <t xml:space="preserve">Phone:795-2759 </t>
  </si>
  <si>
    <t>Diana  Armour</t>
  </si>
  <si>
    <t>3935 N. Country Club Rd. #40 Tucson AZ 85716</t>
  </si>
  <si>
    <t>2016-08-02 00:00:00</t>
  </si>
  <si>
    <t>1335</t>
  </si>
  <si>
    <t>*1,335 sq ft Tucson Sport (Pet Turf); remove small fruit tree*****CHANGED TO VENT MESQUITE LIGHT PER JIMMIE 7/28*****
Prince/Country Club Rd.;  TURF EST for area in backyard; older lady who lives alone/no pets/not much walking on turf.  W.B. 5/23</t>
  </si>
  <si>
    <t>Arnaud, Heather</t>
  </si>
  <si>
    <t>Mobile:975-4459</t>
  </si>
  <si>
    <t>heatherarnaud@mac.com</t>
  </si>
  <si>
    <t>Heather  Arnaud</t>
  </si>
  <si>
    <t>1611 N. Kelly Pl. Tucson AZ 85715</t>
  </si>
  <si>
    <t>300</t>
  </si>
  <si>
    <t xml:space="preserve">*300 sq ft Ventana Spring Light
Pima/Pantano;  TURF EST for approx. 450 sq ft; wanted to purchase a GROUPON so please apply groupon pricing to the largest piece we sell then quote her on the remaining sq ft.  W.B. 8/5
</t>
  </si>
  <si>
    <t>Banwart, Ron</t>
  </si>
  <si>
    <t>Mobile:885-7699</t>
  </si>
  <si>
    <t>luni5@aol.com</t>
  </si>
  <si>
    <t>Ron  Banwart</t>
  </si>
  <si>
    <t>9311 E. Anne Pl. Tucson AZ 85710</t>
  </si>
  <si>
    <t>2016-08-03 00:00:00</t>
  </si>
  <si>
    <t>1260</t>
  </si>
  <si>
    <t>*1,260 sq ft Ventana Spring Light; sod removal
Golf Links/Harrison;  TURF EST for unknown area.  Has graduation to get to so needs to leave by 4:45 so the sooner the better.  W.B. 5/24</t>
  </si>
  <si>
    <t>Bauman, Andrew</t>
  </si>
  <si>
    <t>Phone:298-0994 Mobile:818-4424</t>
  </si>
  <si>
    <t>drew9316@yahoo.com</t>
  </si>
  <si>
    <t>Andrew  Bauman</t>
  </si>
  <si>
    <t>10490 E. Sky High Dr. Tucson AZ 85730</t>
  </si>
  <si>
    <t>2016-06-23 00:00:00</t>
  </si>
  <si>
    <t>690</t>
  </si>
  <si>
    <t>*690 sq ft Ventana Mesquite Light; rock removal
Has our turf on the side of the house and wants more.</t>
  </si>
  <si>
    <t>Bingham, Kim</t>
  </si>
  <si>
    <t>Mobile:349-6993</t>
  </si>
  <si>
    <t>kimcat4@comcast.net</t>
  </si>
  <si>
    <t>Kim  Bingham</t>
  </si>
  <si>
    <t>10965 N. Black Canyon Court Oro Valley AZ 85737</t>
  </si>
  <si>
    <t>2016-06-03 00:00:00</t>
  </si>
  <si>
    <t>360</t>
  </si>
  <si>
    <t>*360 sq ft Ventana Spring Light; turf removal
Naranja/La Cholla</t>
  </si>
  <si>
    <t>2016-06-28 00:00:00</t>
  </si>
  <si>
    <t>660</t>
  </si>
  <si>
    <t>Bower, Terri</t>
  </si>
  <si>
    <t>Mobile:971-7702</t>
  </si>
  <si>
    <t>terrisbower@msn.com</t>
  </si>
  <si>
    <t>Terri  Bower</t>
  </si>
  <si>
    <t>331 E. Suffolk Dr. Tucson AZ 85704</t>
  </si>
  <si>
    <t>2016-07-11 00:00:00</t>
  </si>
  <si>
    <t>1020</t>
  </si>
  <si>
    <t>*1,020 sq ft Ventana Mesquite; sod removal; cap irr.
Oracle/Magee;  TURF EST for unknown area; *****when come to driveway--stay to the right.  W.B. 5/16</t>
  </si>
  <si>
    <t>Brace, Ann</t>
  </si>
  <si>
    <t>Mobile:(520) 678-2704</t>
  </si>
  <si>
    <t>goldnluv50@gmail.com</t>
  </si>
  <si>
    <t>Ann  Brace</t>
  </si>
  <si>
    <t>4254 S. Sauk Ave. Sierra Vista AZ 85650</t>
  </si>
  <si>
    <t>2016-08-25 00:00:00</t>
  </si>
  <si>
    <t>630</t>
  </si>
  <si>
    <t xml:space="preserve">*630 sq ft Ventana Mesquite Light per Jimmie over phone (she had texted photos).  8/22 W.B. </t>
  </si>
  <si>
    <t>Bratt, Richard &amp; Melissa</t>
  </si>
  <si>
    <t>Phone:955-2409 Mobile:(520) 275-9430</t>
  </si>
  <si>
    <t>rbratt@beachfleischman.com, melissab81@msn.com</t>
  </si>
  <si>
    <t>Richard &amp; Melissa  Bratt</t>
  </si>
  <si>
    <t>11581 E. Speedway Blvd. Tucson AZ 85748</t>
  </si>
  <si>
    <t>2016-08-22 00:00:00</t>
  </si>
  <si>
    <t xml:space="preserve">Speedway/Houghton;  SEAM AND AIR BUBBLE ISSUES PER TOBY TEXT 8/11
8/12 W.B.
Call Melissa’s cell 955-2409 or the house at 722-0691.
I am ok with him stopping by if Melissa isn’t home. We will have the dogs put in their dog run so there won’t be any problems.
</t>
  </si>
  <si>
    <t>Brick</t>
  </si>
  <si>
    <t>Phone:544-5786 Mobile:870-0690</t>
  </si>
  <si>
    <t>poochmejan@comcast.net</t>
  </si>
  <si>
    <t>Jan  Brick</t>
  </si>
  <si>
    <t>2422 W. Hidden View Place Tucson AZ 85742</t>
  </si>
  <si>
    <t>2016-08-15 00:00:00</t>
  </si>
  <si>
    <t>1100</t>
  </si>
  <si>
    <t>La Canada/Naranja;  TURF EST for approx. 1,100 sq ft of brick bordered half existing grass half sand that used to have swing set; is taking a friend to airport at 10:00 so needs prior please.  W.B. 8/11</t>
  </si>
  <si>
    <t>Camp, Jeri</t>
  </si>
  <si>
    <t xml:space="preserve">Phone:296-2063 </t>
  </si>
  <si>
    <t>jericamp42@msn.com</t>
  </si>
  <si>
    <t>Jeri  Camp</t>
  </si>
  <si>
    <t>8761 E. Baker St. Tucson AZ 85710</t>
  </si>
  <si>
    <t>2016-05-23 00:00:00</t>
  </si>
  <si>
    <t>600</t>
  </si>
  <si>
    <t>*600 sq ft Ventana Spring Light; sod removal; irr cap.
Speedway/Camino Seco;  TURF EST for a couple of areas around pool.  W.B. 3/21</t>
  </si>
  <si>
    <t>Carson, Sheri</t>
  </si>
  <si>
    <t>Mobile:(360) 701-4332</t>
  </si>
  <si>
    <t>sheri_carson@hotmail.com</t>
  </si>
  <si>
    <t>Sheri  Carson</t>
  </si>
  <si>
    <t>3183 W. Vuelta De Los Mineros Tucson AZ 85745</t>
  </si>
  <si>
    <t>2016-09-15 00:00:00</t>
  </si>
  <si>
    <t>435</t>
  </si>
  <si>
    <t xml:space="preserve">*435 sq ft Ventana Spring Light; sod removal
Silverbell/Ruthrauff;  TURF EST for:  I currently have about 377 square feet of grass in my backyard that has been taken over by weeds in some areas and died off in others.  It is entirely my fault, as I wasn't able to keep up with fertilizing and reseeding due to some significant health issues I have had this past year.  I have been considering laying new sod, but I have a service dog (a beautiful golden retriever who is my LIFE!!) who I just found out is allergic to all types of grass, as well as several weeds, trees, and plants (poor baby - she is pretty much allergic to Arizona...).  So I think installing artificial turf would be much kinder for her.  I would need the old grass torn out and the area prepped for the new artificial turf.  I have met with a few other contractors, but my budget is very tight right now, and if I am going to consider a project like this, I need to make sure I am not getting taken advantage of or getting cheap product because of my budgetary constraints (without going into details, I had a bait and switch pulled on me when I was in the middle of chemotherapy a few months ago, and a project that was supposed to only cost me $1200 ended up costing me $5000 just to get the guy off of my property).  In addition to cost, my biggest concern is the heat of the artificial grass when it is out in the sun.  A few of the samples I have seen get EXTREMELY hot when the sun is on them for only a short period of time, to the point that it burns my feet to stand on it.  So that obviously isn't acceptable for my fur-baby.  Since you are a locally-owned company, I thought you might have access to better products, or at least ideas as to whether or not this is something I should do.Sorry for the long-winded message.  But I hope it helps give you a better picture of my request!  Oh, and I have also had it recommended to me that I use a brick border around the grass to help keep it looking nice, so that is what the former quotes have also included.
Thanks in advance for your consideration.  I look forward to hearing from you.
Warm regards,
Sheri Carson
360-701-4332
W.B. 8/1
</t>
  </si>
  <si>
    <t>Chasse Building Team</t>
  </si>
  <si>
    <t>Phone:P  480.425.7777 Mobile:C 480.213.8062</t>
  </si>
  <si>
    <t>bobharrison@chasse.us</t>
  </si>
  <si>
    <t>230 S. Siesta Lane Tempe AZ 85288</t>
  </si>
  <si>
    <t>2016-08-05 00:00:00</t>
  </si>
  <si>
    <t>Chute, Ira &amp; Kirsten</t>
  </si>
  <si>
    <t>Mobile:256-9281</t>
  </si>
  <si>
    <t>chute.kirsten@gmail.com</t>
  </si>
  <si>
    <t>Ira &amp; Kirsten  Chute</t>
  </si>
  <si>
    <t>10962 E. Roscommon St. Tucson AZ 85747</t>
  </si>
  <si>
    <t>2016-06-15 00:00:00</t>
  </si>
  <si>
    <t>450</t>
  </si>
  <si>
    <t>*450 sq ft Ventana Mes. Light; 90' pavers
Houghton/Drexel;  TURF EST for approx. 450 sq ft; she asked about how far out installed and I told her first week of June.  W.B. 4/18</t>
  </si>
  <si>
    <t>Cienega High School</t>
  </si>
  <si>
    <t xml:space="preserve">Phone:(520) 879-2894 Fax:(520) 879-2801 </t>
  </si>
  <si>
    <t>hasseyn@vailschooldistrict.org</t>
  </si>
  <si>
    <t>Nemer  Hassey</t>
  </si>
  <si>
    <t>Mr. Nemer Hassey12775 E. Mary Ann Cleveland Way Vail AZ 85641</t>
  </si>
  <si>
    <t xml:space="preserve">Per Toby request on phone 8/17 W.B. </t>
  </si>
  <si>
    <t>Cole</t>
  </si>
  <si>
    <t xml:space="preserve">Phone:885-9650 </t>
  </si>
  <si>
    <t>n2mickey@cox.net</t>
  </si>
  <si>
    <t>Chuck &amp; Patti  Cole</t>
  </si>
  <si>
    <t>9652 E. Catalina Hills Rd. Tucson AZ 85748</t>
  </si>
  <si>
    <t>2016-05-31 00:00:00</t>
  </si>
  <si>
    <t>*600 sq ft Ventana Mesquite Light; sod removal
Broadway/Wilmot;  REPEAT customer for more turf--past job of two areas of 975 VMesLt at 7.95/sq ft; W.B. 4/7</t>
  </si>
  <si>
    <t>Cole, Jim</t>
  </si>
  <si>
    <t>Mobile:(520) 869-9144</t>
  </si>
  <si>
    <t>yogi_85711@yahoo.com</t>
  </si>
  <si>
    <t>Jim  Cole</t>
  </si>
  <si>
    <t>6121 E. 17th St. Tucson AZ 85711</t>
  </si>
  <si>
    <t>Cory, Jon</t>
  </si>
  <si>
    <t xml:space="preserve">Phone:207-1576 </t>
  </si>
  <si>
    <t>joncory1980@gmail.com</t>
  </si>
  <si>
    <t>Jon  Cory</t>
  </si>
  <si>
    <t>5981 E. 23rd St. Tucson AZ 85711</t>
  </si>
  <si>
    <t>2016-07-27 00:00:00</t>
  </si>
  <si>
    <t>2055</t>
  </si>
  <si>
    <t>*2,055 sq ft Ventana Spring Light
22nd/Wilmot;  TURF EST for unknown area.  W.B. 5/17</t>
  </si>
  <si>
    <t>Crandall, Kelly</t>
  </si>
  <si>
    <t>Mobile:850-4374</t>
  </si>
  <si>
    <t>kcran670@gmail.com</t>
  </si>
  <si>
    <t>Kelly  Crandall</t>
  </si>
  <si>
    <t>670 N. Citrus Ave. Tucson AZ 85748</t>
  </si>
  <si>
    <t>2016-09-20 00:00:00</t>
  </si>
  <si>
    <t>*660 sq ft Ventana Spring Light (Randy doing work there before us)
Harrison/5th;  TURF EST for backyard area with three dogs.  W.B. 6/16</t>
  </si>
  <si>
    <t>Criger, Rod</t>
  </si>
  <si>
    <t>Mobile:490-0827</t>
  </si>
  <si>
    <t>resamarie6@yahoo.com</t>
  </si>
  <si>
    <t>Rod  Criger</t>
  </si>
  <si>
    <t>5814 S. Clonmellon Ave. Tucson AZ 85747</t>
  </si>
  <si>
    <t>2016-08-10 00:00:00</t>
  </si>
  <si>
    <t xml:space="preserve">Rita Ranch; confirmed with Theresa 8/4/16 W.B. </t>
  </si>
  <si>
    <t>Davis, J</t>
  </si>
  <si>
    <t xml:space="preserve">Phone:520-370-5903 </t>
  </si>
  <si>
    <t>azsandblaster@yahoo.com</t>
  </si>
  <si>
    <t>Jana  Davis</t>
  </si>
  <si>
    <t>3362 W. Marlene St. Tucson AZ 85741</t>
  </si>
  <si>
    <t>2016-07-13 00:00:00</t>
  </si>
  <si>
    <t xml:space="preserve">Houghton/Escalante;  TURF EST for backyard kidney shaped area approx. 41x9.  W.B. 7/7
</t>
  </si>
  <si>
    <t>Davis, Jim</t>
  </si>
  <si>
    <t>Phone:744-2687 Mobile:(520) 488-5763</t>
  </si>
  <si>
    <t>davisaero@comcast.net</t>
  </si>
  <si>
    <t>Jim  Davis</t>
  </si>
  <si>
    <t>7660 N. Bellweather Dr. Tucson AZ 85743</t>
  </si>
  <si>
    <t>Dean</t>
  </si>
  <si>
    <t xml:space="preserve">Phone:(580) 747-3145 </t>
  </si>
  <si>
    <t>jdean82003@yahoo.com</t>
  </si>
  <si>
    <t>Josh &amp; Erin  Dean</t>
  </si>
  <si>
    <t>7604 E. Shadybrook Ln Tucson AZ 85756</t>
  </si>
  <si>
    <t>Desert Toyota</t>
  </si>
  <si>
    <t xml:space="preserve">Phone:296-8535 </t>
  </si>
  <si>
    <t>jerryc@deserttoyota.com</t>
  </si>
  <si>
    <t>Jerry</t>
  </si>
  <si>
    <t>7150 E. 22 St Tucson AZ 85710</t>
  </si>
  <si>
    <t>615</t>
  </si>
  <si>
    <t>*615 sq ft Ventana Spring Light; sod removal; irr cap; run extension of existing poly line 20 feet for palm
I-10/Kolb;  TURF EST for existing grass area approx. 650 sq ft; ****USE GATE CODE 023 at gate phone***
W.B. 4/15</t>
  </si>
  <si>
    <t>Dickey, Kristi</t>
  </si>
  <si>
    <t>Phone:664-0929 Mobile:289-0177</t>
  </si>
  <si>
    <t>dickey522@yahoo.com</t>
  </si>
  <si>
    <t>Kristi  Dickey</t>
  </si>
  <si>
    <t>9281 S. Winter Wood Rd. Tucson AZ 85756</t>
  </si>
  <si>
    <t>2016-05-26 00:00:00</t>
  </si>
  <si>
    <t>550</t>
  </si>
  <si>
    <t>*550 Ventana SPRING (mom's) and 1035 sq ft Ventana Spring (hers); Zeofill
Your Hood;  TURF EST to replace existing grass.  W.B. 4/29
dickey522@yahoo.com</t>
  </si>
  <si>
    <t>Dugan, Chuck</t>
  </si>
  <si>
    <t>Phone:(520) 744-9431 Mobile:(520) 419-6343</t>
  </si>
  <si>
    <t>chuckd@astronomyadventuresaz.com</t>
  </si>
  <si>
    <t>Chuck  Dugan</t>
  </si>
  <si>
    <t>5840 N. Bridle Way Tucson AZ 85743</t>
  </si>
  <si>
    <t>2016-09-07 00:00:00</t>
  </si>
  <si>
    <t>*300 sq ft Ventana Spring Light; past customer needs new turf installed same area after garage installed.  
By Jim's House INA/BROOMTAIL; Had turf put in by us in 2011; had it pulled up and needs to be reinstalled; needs before 8 or after 4; please give him a labor/reinstall quote.   W.B. 7/12</t>
  </si>
  <si>
    <t>Duron, George</t>
  </si>
  <si>
    <t>Phone:281-2282 Mobile:980-6039</t>
  </si>
  <si>
    <t>GDuron@apacheproduce.com</t>
  </si>
  <si>
    <t>George  Duron</t>
  </si>
  <si>
    <t>1023 Pendleton Rio Rico AZ 85648</t>
  </si>
  <si>
    <t>2016-06-01 00:00:00</t>
  </si>
  <si>
    <t>*660 sq ft Ventana Spring Light (customer to remove flagstone and rock)
Rio Rico; TURF EST for area around pool. He works from 5-4 but will come home at this time***PLEASE CALL HIM WHEN 15 MINS OUT****.  W.B. 4/6
GDuron@apacheproduce.com</t>
  </si>
  <si>
    <t>Earls, Paul</t>
  </si>
  <si>
    <t>Mobile:(520) 885-3086</t>
  </si>
  <si>
    <t>darandpaul@aol.com</t>
  </si>
  <si>
    <t>Paul  Earls</t>
  </si>
  <si>
    <t>1949 N. Fountain Park Dr. Tucson AZ 85715</t>
  </si>
  <si>
    <t>Camino Seco/Wrightstown;  PUTTING GREEN EST; I gave him a ball park price to see if it was in his budget.  W.B. 5/27</t>
  </si>
  <si>
    <t>2016-06-30 00:00:00</t>
  </si>
  <si>
    <t>Frost</t>
  </si>
  <si>
    <t xml:space="preserve">Phone:529-4627 </t>
  </si>
  <si>
    <t>frosti954@comcast.net</t>
  </si>
  <si>
    <t>Joanne &amp; Ian  Frost</t>
  </si>
  <si>
    <t>5722 N. Via Umbrosa Tucson AZ 85750</t>
  </si>
  <si>
    <t>2016-06-22 00:00:00</t>
  </si>
  <si>
    <t>Meet Jon at his office at location at POSTER FROST MIRTO (above address) and walk to courthouse.  W.B. 6/17</t>
  </si>
  <si>
    <t>Genzman, Scott</t>
  </si>
  <si>
    <t>Mobile:577-4711</t>
  </si>
  <si>
    <t>sgfund@comcast.net</t>
  </si>
  <si>
    <t>Scott  Genzman</t>
  </si>
  <si>
    <t>5556 N. Via Girasol Tucson AZ 85750</t>
  </si>
  <si>
    <t>2016-08-24 00:00:00</t>
  </si>
  <si>
    <t>Sunrise/Craycroft;  PUTTING GREEN EST; asked for later appt.  W.B. 3/31
***REVISIT NOW THAT POOL IS DONE***W.B. 8/15</t>
  </si>
  <si>
    <t>jennygia@aol.com</t>
  </si>
  <si>
    <t>Kennedy</t>
  </si>
  <si>
    <t>2016-07-07 00:00:00</t>
  </si>
  <si>
    <t>520</t>
  </si>
  <si>
    <t>Houghton/Escalante; TURF EST for backyard area approx. 520 sq ft.  W.B. 7/6</t>
  </si>
  <si>
    <t>Giachetti Construction:Teeple</t>
  </si>
  <si>
    <t>Mobile:349-2809</t>
  </si>
  <si>
    <t>Teeple</t>
  </si>
  <si>
    <t>4630 N. Camino Gacela Tucson AZ 85718</t>
  </si>
  <si>
    <t>2016-06-08 00:00:00</t>
  </si>
  <si>
    <t>585</t>
  </si>
  <si>
    <t>*585 sq ft Ventana Spring Light; sod removal (USE MERRITT TURF ORDERED 5/25/16)
Skyline/Swan;  TURF EST for existing grass area; ***GATE CODE:  #0603   ; super hard to get on schedule.  W.B. 4/15</t>
  </si>
  <si>
    <t>Gold, Ira</t>
  </si>
  <si>
    <t>Mobile:245-7486</t>
  </si>
  <si>
    <t>iragold@dakotacom.net</t>
  </si>
  <si>
    <t>Ira  Gold</t>
  </si>
  <si>
    <t>1516 S. Cactus Sand Pl. Tucson AZ 85748</t>
  </si>
  <si>
    <t>2016-09-08 00:00:00</t>
  </si>
  <si>
    <t>1560</t>
  </si>
  <si>
    <t>*1,560 sq ft. Ventana Mesquite Light; 10 tons 1/2 inch dec rock desert brown; 1 pony wall with stucco face (Randy)
22nd/Houghton;  TURF EST for unknown area.  W.B. 7/8
iragold@dakotacom.net</t>
  </si>
  <si>
    <t>Goodrich, Rob &amp; Raquel</t>
  </si>
  <si>
    <t xml:space="preserve">Phone:425-1303 </t>
  </si>
  <si>
    <t>raquel.goodrich@gmail.com</t>
  </si>
  <si>
    <t>Rob &amp; Raquel  Goodrich</t>
  </si>
  <si>
    <t>475 S. Lower Chord Rd. Vail AZ 85641</t>
  </si>
  <si>
    <t>2016-06-13 00:00:00</t>
  </si>
  <si>
    <t>1230</t>
  </si>
  <si>
    <t>*1,230 sq ft Ventana Mesquite Light
Corona De Tucson;  TURF EST for unknown area.  W.B. 4/12</t>
  </si>
  <si>
    <t>Grove</t>
  </si>
  <si>
    <t xml:space="preserve">Phone:400-4202 </t>
  </si>
  <si>
    <t>bkgaz2@gmail.com</t>
  </si>
  <si>
    <t>Brian  Grove</t>
  </si>
  <si>
    <t>8911 N. Mocha Place Tucson AZ 85743</t>
  </si>
  <si>
    <t>2016-05-25 00:00:00</t>
  </si>
  <si>
    <t>Orange Grove/La Canada;  TURF EST for unknown area.  W.B. 5/18
jhigaz22@comcast.net</t>
  </si>
  <si>
    <t>Haight, Jerry</t>
  </si>
  <si>
    <t xml:space="preserve">Phone:574-1040 </t>
  </si>
  <si>
    <t>jdh@jdhaight.com</t>
  </si>
  <si>
    <t>Jerry  Haight</t>
  </si>
  <si>
    <t>7133 E. Maritime Dr. Tucson AZ 85756</t>
  </si>
  <si>
    <t>Hand</t>
  </si>
  <si>
    <t xml:space="preserve">Phone:749-4538 </t>
  </si>
  <si>
    <t>rlytle@uiuc.edu</t>
  </si>
  <si>
    <t>Ray Lytle &amp;  Sally Hand</t>
  </si>
  <si>
    <t>10570 E. Eisenbergs Pl. Tucson AZ 85747-5877</t>
  </si>
  <si>
    <t>2016-07-21 00:00:00</t>
  </si>
  <si>
    <t xml:space="preserve">End of Speedway;  TURF EST for multiple areas around pool and around kids pool;  areas have some drainage issues when grass is watered, it seeps into indoor pool area; also may want to order a roll of turf to have on hand.  Please call his personal cell phone on way and can go to main office when arrive and they will radio him in.  (referred by Paul Peranzi) W.B. 7/13
</t>
  </si>
  <si>
    <t>Harrison</t>
  </si>
  <si>
    <t xml:space="preserve">Phone:396-4299 </t>
  </si>
  <si>
    <t>Chris  Harrison</t>
  </si>
  <si>
    <t>7501 E. Lester Circle Tucson AZ 85715</t>
  </si>
  <si>
    <t>Catalina Hwy/Harrison;  TURF EST for unknown area.  W.B. 6/6</t>
  </si>
  <si>
    <t>Harris, Sue</t>
  </si>
  <si>
    <t>Phone:790-9824 Mobile:401-3872</t>
  </si>
  <si>
    <t>soooz56@msn.com</t>
  </si>
  <si>
    <t>Sue  Harris</t>
  </si>
  <si>
    <t>1401 S. Dakota Sky Court Tucson AZ 85748</t>
  </si>
  <si>
    <t>2016-06-14 00:00:00</t>
  </si>
  <si>
    <t>*300 sq ft Tucson Pet Pro; rock removal
22nd St/Old Spanish Trail   Turf est; sq ft unknown  LL 4/12</t>
  </si>
  <si>
    <t>Henson, Les</t>
  </si>
  <si>
    <t>Phone:404-1775 Mobile:575-9013</t>
  </si>
  <si>
    <t>leshenson7@gmail.com</t>
  </si>
  <si>
    <t>Les  Henson</t>
  </si>
  <si>
    <t>12608 N. Sleeping Coyote Dr. Oro Valley AZ 85755</t>
  </si>
  <si>
    <t>2016-08-01 00:00:00</t>
  </si>
  <si>
    <t>465</t>
  </si>
  <si>
    <t>*465 sq ft Ventana Mesquite Light; rock removal; move small hot tub
Rancho Vistoso.  He would like a reminder call the day before or morning of appt.  Turf est/sq ft unknown.  LL  4/14</t>
  </si>
  <si>
    <t>Howard, Josiah</t>
  </si>
  <si>
    <t>Mobile:(520) 307-0588</t>
  </si>
  <si>
    <t>josiah.howard1@gmail.com</t>
  </si>
  <si>
    <t>Josiah  Howard</t>
  </si>
  <si>
    <t>2821 E. 3rd St. Tucson AZ 85716</t>
  </si>
  <si>
    <t>2016-09-28 00:00:00</t>
  </si>
  <si>
    <t>*450 sq ft Ventana Mes Lt.; 6 tons 1/2" dec rock (COLOR TBD); tree removal 
Magee/La Canada;  TURF EST for unknown area. W.B. 8/8</t>
  </si>
  <si>
    <t>Hunt, Jennifer</t>
  </si>
  <si>
    <t>Mobile:373-8106</t>
  </si>
  <si>
    <t>jahunt79@gmail.com</t>
  </si>
  <si>
    <t>Jennifer  Hunt</t>
  </si>
  <si>
    <t>4102 S. Snapdragon St. Tucson AZ 85730</t>
  </si>
  <si>
    <t>2016-07-12 00:00:00</t>
  </si>
  <si>
    <t>795</t>
  </si>
  <si>
    <t xml:space="preserve">*795 &amp; 180 sq ft Ventana Spring Light (2 areas); Zeofill
</t>
  </si>
  <si>
    <t>Johnson, Ryan</t>
  </si>
  <si>
    <t>Mobile:270-8742</t>
  </si>
  <si>
    <t>johnsory@icloud.com</t>
  </si>
  <si>
    <t>Ryan  Johnson</t>
  </si>
  <si>
    <t>6296 N. Pinnacle Ridge Dr. Tucson AZ 85718</t>
  </si>
  <si>
    <t>1545</t>
  </si>
  <si>
    <t>*1,545 sq ft Ventana Mesquite Light; rock removal
Skyline/Pontatoc;  TURF EST for GIFT CERT WINNER (who never got in touch with the lady who said she would be sending it to him so I told him you would take care of him); 250.00 gift cert winner from American Heart Assoc. Silent Auction; GATE CODE #0614; ***NEEDS AS EARLY AS POSSIBLE ON THAT MORNING SO IF YOU CAN COME EARLIER, PLEASE DO***
W.B. 3/4
****SWITCHED DATES TO JULY 13-14 from ORIG. 6/29-6/30 WITH CHULICK FOR DRAINAGE ISSUES****</t>
  </si>
  <si>
    <t>Jordan</t>
  </si>
  <si>
    <t xml:space="preserve">Phone:250-5671 </t>
  </si>
  <si>
    <t>n_hawtree@yahoo.com</t>
  </si>
  <si>
    <t>Nicole &amp; Patrick  Jordan</t>
  </si>
  <si>
    <t>1294 S. Paseo Luna Blanca Tucson AZ 85713</t>
  </si>
  <si>
    <t>2016-07-22 00:00:00</t>
  </si>
  <si>
    <t>Ft. Lowell/Columbus:  We did not put his existing turf in but he needs to get a quote on "spucing it up"/maintenance/or if that is a possibility.  W.B. 7/18</t>
  </si>
  <si>
    <t>JW Marriott</t>
  </si>
  <si>
    <t>Mobile:(520) 791-6119</t>
  </si>
  <si>
    <t>marni.bayes@marriott.com</t>
  </si>
  <si>
    <t>Starr Pass Resort &amp; Spa
3800 W. Starr Pass Blvd. Tucson AZ 85745</t>
  </si>
  <si>
    <t>2017-11-17 00:00:00</t>
  </si>
  <si>
    <t xml:space="preserve">Star Pass Resort;  TURF EST for pool area that they want done pretty immediately and they are using as a tester to determine if want to turf the other areas at the resort; park in loading dock area then call him and he will meet you.  W.B. 11/16
richard.wildman@marriott.com (contact form)
</t>
  </si>
  <si>
    <t>Kalinoski, Renee</t>
  </si>
  <si>
    <t xml:space="preserve">Phone:490-7680 </t>
  </si>
  <si>
    <t>Renee  Kalinoski</t>
  </si>
  <si>
    <t>7366 E. Placita Del Animo Tucson AZ 85715</t>
  </si>
  <si>
    <t>2016-08-13 00:00:00</t>
  </si>
  <si>
    <t>810</t>
  </si>
  <si>
    <t>*810 sq ft Ventana Spring Light</t>
  </si>
  <si>
    <t>Keller, Lyn</t>
  </si>
  <si>
    <t>Phone:(520) 298-0596 Mobile:(520) 419-7841</t>
  </si>
  <si>
    <t>lyn_keller@hotmail.com</t>
  </si>
  <si>
    <t>Lyn  Keller</t>
  </si>
  <si>
    <t>8421 E. Cresthill Dr. Tucson AZ 85750</t>
  </si>
  <si>
    <t>2016-07-14 00:00:00</t>
  </si>
  <si>
    <t>255</t>
  </si>
  <si>
    <t>*255 Sq Ft Ventana Mesquite Light
Sabino/Cloud;  TURF EST for small backyard area that is paver edged.  W.B. 6/17</t>
  </si>
  <si>
    <t xml:space="preserve">Phone:886-0107 </t>
  </si>
  <si>
    <t>rakennedy35@aol.com</t>
  </si>
  <si>
    <t>Roberta  Kennedy</t>
  </si>
  <si>
    <t>7243 E. Camino Vecino Tucson AZ 85715</t>
  </si>
  <si>
    <t>Kerr</t>
  </si>
  <si>
    <t xml:space="preserve">Phone:904-5575 </t>
  </si>
  <si>
    <t>Denise  Kerr</t>
  </si>
  <si>
    <t>18572 W. Avra Valley Rd Marana AZ 85653</t>
  </si>
  <si>
    <t xml:space="preserve">Twin Peaks/I-10;  TURF EST/MASONRY EST for unknown area.  W.B. 6/2
taj0013@icloud.com
</t>
  </si>
  <si>
    <t>LaFaye, Roger</t>
  </si>
  <si>
    <t>Mobile:(520) 891-9880</t>
  </si>
  <si>
    <t>rjlafaye@gmail.com</t>
  </si>
  <si>
    <t>Roger  LaFaye</t>
  </si>
  <si>
    <t>2540 E. Lomas Dr. Vail AZ 85641</t>
  </si>
  <si>
    <t>2016-08-16 00:00:00</t>
  </si>
  <si>
    <t>Ina/Sandario;  TURF EST for unknown area.  W.B. 8/9</t>
  </si>
  <si>
    <t>Lam, Carrol</t>
  </si>
  <si>
    <t>Mobile:327-4696</t>
  </si>
  <si>
    <t>thelams@dakotacom.net</t>
  </si>
  <si>
    <t>Carrol  Lam</t>
  </si>
  <si>
    <t>35 E. Calle Belleza Tucson AZ 85716</t>
  </si>
  <si>
    <t>720</t>
  </si>
  <si>
    <t>Broadway/Country Club;  TURF PROBLEM--installed 7/15 720 sq ft Vent Mes Lt--says a "chunk" of it is missing and needs to see how to fix it.  W.B. 7/21</t>
  </si>
  <si>
    <t>Lanz, Melanie</t>
  </si>
  <si>
    <t xml:space="preserve">Phone:270-5745 </t>
  </si>
  <si>
    <t>melanie.lanz@comcast.net</t>
  </si>
  <si>
    <t>Melanie  Lanz</t>
  </si>
  <si>
    <t>8355 N. Douglas Fir Drive Tucson Az 85743</t>
  </si>
  <si>
    <t>2018-09-21 00:00:00</t>
  </si>
  <si>
    <t>420</t>
  </si>
  <si>
    <t xml:space="preserve">The Pines:  Repair estimate for customer we installed something called "TUCSON IDEAL TURF" 420 sq ft in 4/2011 and 195 sq ft in 6/2011.  Husband is off this Friday.  W.B. 9/18
</t>
  </si>
  <si>
    <t>Lewis, Steve &amp; Sheryl</t>
  </si>
  <si>
    <t>Mobile:307-2285</t>
  </si>
  <si>
    <t>stevenslewis@cox.net, sheryllewis@cox.net</t>
  </si>
  <si>
    <t>Steve &amp; Sheryl  Lewis</t>
  </si>
  <si>
    <t>2145 N. Split Rock Pl. Tucson AZ 85749</t>
  </si>
  <si>
    <t>2016-07-06 00:00:00</t>
  </si>
  <si>
    <t>1005</t>
  </si>
  <si>
    <t>*1005 sq ft Ventana Spring Light; sod removal
stevenslewis@cox.net</t>
  </si>
  <si>
    <t>Lott, Lynn</t>
  </si>
  <si>
    <t>Mobile:301-6820</t>
  </si>
  <si>
    <t>lottlynn@ymail.com</t>
  </si>
  <si>
    <t>Lynn  Lott</t>
  </si>
  <si>
    <t>6572 W. Whispering Windmill Lane Marana AZ 85658</t>
  </si>
  <si>
    <t>2016-06-06 00:00:00</t>
  </si>
  <si>
    <t>345</t>
  </si>
  <si>
    <t>*345 putting green; 270 Ventana Spring Light fringe; 3 pga
(Toby estimate)
Dove Mt. right past the Ritz;  TURF EST for unknown area.  W.B. 4/18</t>
  </si>
  <si>
    <t>Maloney, Chris</t>
  </si>
  <si>
    <t>Mobile:490-4756</t>
  </si>
  <si>
    <t>mchrismaloneysr@yahoo.com</t>
  </si>
  <si>
    <t>Chris  Maloney</t>
  </si>
  <si>
    <t>7080 E. Calle Morera Tucson AZ 85750</t>
  </si>
  <si>
    <t>*435 sq ft Ventana Spring Light; sod removal
Sabino Canyon/Cloud;  TURF EST for townhome backyard (we did his daughter's yard--Anne Donnellan in 3/2016 810 sq ft VMESLT at 7.45/sq. ft.and he likes hers).
W.B. 7/1</t>
  </si>
  <si>
    <t>Mammen, Werner &amp; Annie</t>
  </si>
  <si>
    <t>Mobile:(520) 869-9910</t>
  </si>
  <si>
    <t>awmammen@gmail.com</t>
  </si>
  <si>
    <t>Werner &amp; Annie  Mammen</t>
  </si>
  <si>
    <t>12563 N. Summer Wind Dr. Marana AZ 85658</t>
  </si>
  <si>
    <t>2016-08-08 00:00:00</t>
  </si>
  <si>
    <t>330</t>
  </si>
  <si>
    <t>*330 sq ft Ventana Mesquite Light; sod removal
Thornydale/Tangerine;  TURF EST for unknown area. ***FIND NAME ON DIRECTORY ON GATE AND SHE WILL BUZZ IN***
W.B. 5/31
amammen.tangerinenorthhoa@gmail.com</t>
  </si>
  <si>
    <t>Marley, Janice</t>
  </si>
  <si>
    <t>Mobile:(520) 490-1652</t>
  </si>
  <si>
    <t>janicecooks@cox.net</t>
  </si>
  <si>
    <t>Janice  Marley</t>
  </si>
  <si>
    <t>4370 E. Glenn St. Tucson AZ 85712</t>
  </si>
  <si>
    <t>2016-09-01 00:00:00</t>
  </si>
  <si>
    <t xml:space="preserve">When we originally spoke to Jimmie about getting turf he said that the ground would be:
 Leveled out to drain away from the house.
The existing steps would be pulled up and leveled with the grass installation.
The ground would be treated to prevent real grass coming up through the turf. 
I have attached two pictures to show that above was not done. 
We had a minor flood in our yard and you can see the water is draining toward the house. 
The grass is coming up around the steps.  
The steps where never taken up and leveled with the grass.
I did bring this up with the installers when the grass was laid. I was told that is was all good and not a problem.  As you can see it was not taken care of. 
I look forward to talking to someone about how this could be resolved.
Thanks,
Janice Marley
520-490-1652Hi Wendy, 
Thank you all for resolving this. September 1 in the afternoon will work with my schedule. A call when they are on the way would be greatly appreciated. 
490-1652 is the best number to reach me at.
Thank you!
Janice Marley
</t>
  </si>
  <si>
    <t>Massa, Candice</t>
  </si>
  <si>
    <t>Mobile:269-3668</t>
  </si>
  <si>
    <t>candymassa@gmail.com</t>
  </si>
  <si>
    <t>Candice  Massa</t>
  </si>
  <si>
    <t>11370 W. Farm Village Dr. Marana AZ 85653</t>
  </si>
  <si>
    <t>2016-07-26 00:00:00</t>
  </si>
  <si>
    <t>390</t>
  </si>
  <si>
    <t>*390 sq ft Ventana Spring Light; sod removal
Gladden Farms;  TURF EST for approx. 250 sq ft.  W.B. 11/12
candymassa@gmail.com</t>
  </si>
  <si>
    <t>McKenna, John</t>
  </si>
  <si>
    <t>Mobile:444-5873</t>
  </si>
  <si>
    <t>jiaafam4@comcast.net</t>
  </si>
  <si>
    <t>John  McKenna</t>
  </si>
  <si>
    <t>12893 N. Desert Olive Dr. Oro Valley AZ 85755</t>
  </si>
  <si>
    <t>2016-08-17 00:00:00</t>
  </si>
  <si>
    <t>750</t>
  </si>
  <si>
    <t>*750 sq ft Ventana Spring Light; sod removal
La Canada/Moore;  TURF EST for unknown area; meeting with John (homeowner) and PRESTON (landscaper) who made the appointment who can be reached at 977-7631.  W.B. 6/6</t>
  </si>
  <si>
    <t>McMillin, Robert</t>
  </si>
  <si>
    <t>Mobile:297-9978</t>
  </si>
  <si>
    <t>cemrem@comcast.net</t>
  </si>
  <si>
    <t>Robert  McMillin</t>
  </si>
  <si>
    <t>343 W. Meadowbrook Tucson AZ 85704</t>
  </si>
  <si>
    <t>2019-06-04 00:00:00</t>
  </si>
  <si>
    <t xml:space="preserve">Oracle/Calle Concordia;  TURF EST for unknown area.  W.B. 4/12
</t>
  </si>
  <si>
    <t>McMurray, Justin</t>
  </si>
  <si>
    <t>Mobile:(316) 706-0856</t>
  </si>
  <si>
    <t>jwmcfuzz@hotmail.com</t>
  </si>
  <si>
    <t>Justin  McMurray</t>
  </si>
  <si>
    <t>6519 W. Wolf Valley Way Tucson AZ 85757</t>
  </si>
  <si>
    <t>2016-08-18 00:00:00</t>
  </si>
  <si>
    <t>1455</t>
  </si>
  <si>
    <t>*1455 sq ft Ventana Spring Light (per Jimmie is easy)
Star Valley;  TURF EST for unknown area.  W.B. 7/29</t>
  </si>
  <si>
    <t>Merritt, John</t>
  </si>
  <si>
    <t>Mobile:343-4899</t>
  </si>
  <si>
    <t>jttmerritt@msn.com</t>
  </si>
  <si>
    <t>John  Merritt</t>
  </si>
  <si>
    <t>10684 S. Miramar Canyon Pass Vail AZ 85641</t>
  </si>
  <si>
    <t>Per Jimmie request 5/18</t>
  </si>
  <si>
    <t>Molina, Esau</t>
  </si>
  <si>
    <t>Mobile:484-3134</t>
  </si>
  <si>
    <t>montanarealtyco78@yahoo.com</t>
  </si>
  <si>
    <t>Esau  Molina</t>
  </si>
  <si>
    <t>3500 W. Lost Village Lane Tucson AZ 85746</t>
  </si>
  <si>
    <t>270</t>
  </si>
  <si>
    <t xml:space="preserve">*270 sq ft Ventana Spring Light
Valencia/Camino de La Tierra;  TURF EST for approx. 14x18 piece.  W.B. 5/31
montanarealtyco78@yahoo.com
</t>
  </si>
  <si>
    <t>Mooney, Sean</t>
  </si>
  <si>
    <t>Mobile:271-2878</t>
  </si>
  <si>
    <t>maryliz.vega@gmail.com, smooneyreel@gmail.com</t>
  </si>
  <si>
    <t>Sean  Mooney</t>
  </si>
  <si>
    <t>5702 N. Lady Lane Tucson AZ 85704</t>
  </si>
  <si>
    <t>2016-10-05 00:00:00</t>
  </si>
  <si>
    <t>180</t>
  </si>
  <si>
    <t>*180 sq ft Ventana Spring Light; Zeofill Upgrade
Oracle/Rudasill;  TURF EST for approx. 70 sq ft (I told him we might have stuff on hand instead of ordering which may "discount"; gave him 8.95-10.95 price range on normall installs prior to him telling me it was only 70 sq ft but maybe St. Mark's or St. Thomas melted leftovers would work).  W.B. 8/18</t>
  </si>
  <si>
    <t>Muhlestein, Judy</t>
  </si>
  <si>
    <t>Mobile:(520) 909-4102</t>
  </si>
  <si>
    <t>angelicastucson@gmail.com</t>
  </si>
  <si>
    <t>Judy  Muhlestein</t>
  </si>
  <si>
    <t>5831 E. Placita Alta Reposa Tucson AZ 85750</t>
  </si>
  <si>
    <t>2016-09-29 00:00:00</t>
  </si>
  <si>
    <t>495</t>
  </si>
  <si>
    <t>*495 sq ft Ventana Mesquite Light; Drain; grade issues
Sunrise/Craycroft (near Ventana); TURF EST for area where there used to be artificial turf; they removed but are having grading issues with water build up on their patio.  W.B. 6/21
*****ORIGINALLY SCHEDULED FOR INSTALL 8/8 BUT DRAINAGE ISSUES*******</t>
  </si>
  <si>
    <t>Murrieta, Paul</t>
  </si>
  <si>
    <t>Mobile:955-0700</t>
  </si>
  <si>
    <t>pmurrieta@oasiscoolingheating.com</t>
  </si>
  <si>
    <t>Paul  Murrieta</t>
  </si>
  <si>
    <t>1850 N. Camino De Oeste Tucson AZ 85745</t>
  </si>
  <si>
    <t>825</t>
  </si>
  <si>
    <t>*825 sq ft Diamond Spring Light;
Ironwood Hill/Camino De Oeste;  TURF EST for unknown area; has existing turf but can't remember who put it in two years ago...not us  W.B. 5/3</t>
  </si>
  <si>
    <t>Navallez, Rebecca</t>
  </si>
  <si>
    <t>Mobile:481-6060</t>
  </si>
  <si>
    <t>rebeccalg14@hotmail.com</t>
  </si>
  <si>
    <t>Rebecca  Navallez</t>
  </si>
  <si>
    <t>9489 E. Blue Denim Dr. Tucson AZ 85750</t>
  </si>
  <si>
    <t>375</t>
  </si>
  <si>
    <t>*375 Sq ft Aloha Plus (Everlast Mid); rock removal (also bring 6x6 ish dog mat for dog)
*DELAYED TWICE (now in July per customer request)
Golf Links/Harrison;  TURF EST/MASONRY EST for backyard area; unknown sq ft.  W.B. 2/25
rebeccalg14@hotmail.com</t>
  </si>
  <si>
    <t>Norton, Sony</t>
  </si>
  <si>
    <t>Mobile:(303) 751-7971</t>
  </si>
  <si>
    <t>sonynorton@gmail.com</t>
  </si>
  <si>
    <t>Sony  Norton</t>
  </si>
  <si>
    <t>6112 W. Bandelier Ct. Tucson AZ 85742</t>
  </si>
  <si>
    <t>2016-08-23 00:00:00</t>
  </si>
  <si>
    <t>765</t>
  </si>
  <si>
    <t xml:space="preserve">*765 sq ft Ventana Spring LIght
Twin Peaks/Oasis;  TURF EST for backyard area.  W.B. 6/6
sonynorton@gmail.com
</t>
  </si>
  <si>
    <t>O</t>
  </si>
  <si>
    <t xml:space="preserve">Phone:395-2586 </t>
  </si>
  <si>
    <t>sangandcherylo@gmail.com</t>
  </si>
  <si>
    <t>Sang &amp; Cheryl  O</t>
  </si>
  <si>
    <t>10432 E. Placita Guanajuato Tucson AZ 85749</t>
  </si>
  <si>
    <t>Orlando, Jake</t>
  </si>
  <si>
    <t>Mobile:820-3694</t>
  </si>
  <si>
    <t>jorlando@imsmetals.com</t>
  </si>
  <si>
    <t>Jake  Orlando</t>
  </si>
  <si>
    <t>12493 N. Summer Wind Dr. Marana AZ 85658</t>
  </si>
  <si>
    <t>*825 Diamond Mesquite (confirm); Pavers
Thornydale/Tangerine;  TURF EST/MASONRY for new construction backyard. ******GATE CODE:  0404
W.B. 6/13</t>
  </si>
  <si>
    <t>Panico, James</t>
  </si>
  <si>
    <t>Mobile:(520) 820-2638</t>
  </si>
  <si>
    <t>jmspanico@gmail.com</t>
  </si>
  <si>
    <t>James  Panico</t>
  </si>
  <si>
    <t>5065 E. Placita Salud Tucson AZ 85718</t>
  </si>
  <si>
    <t>2016-08-04 00:00:00</t>
  </si>
  <si>
    <t>Pitts, Christina</t>
  </si>
  <si>
    <t>Mobile:247-4776</t>
  </si>
  <si>
    <t>entasis@aol.com</t>
  </si>
  <si>
    <t>Christina  Pitts</t>
  </si>
  <si>
    <t>12850 N. Bandanna Way Oro Valley AZ 85755</t>
  </si>
  <si>
    <t xml:space="preserve">*375 sq ft Ventana Mesquite Light
Rancho Vistoso/Oracle;  </t>
  </si>
  <si>
    <t>Plummer, Lori</t>
  </si>
  <si>
    <t>Mobile:664-6666</t>
  </si>
  <si>
    <t>adorkbl@gmail.com</t>
  </si>
  <si>
    <t>Lori  Plummer</t>
  </si>
  <si>
    <t>9884 N. Longford Dr. Tucson AZ 85742</t>
  </si>
  <si>
    <t>2016-06-16 00:00:00</t>
  </si>
  <si>
    <t>525</t>
  </si>
  <si>
    <t>*525 sq ft Ventana Spring Light; rock removal</t>
  </si>
  <si>
    <t>Quinn, Julie &amp; Stallings, Sandra</t>
  </si>
  <si>
    <t>Mobile:(303) 818-7675</t>
  </si>
  <si>
    <t>jquinn3553@gmail.com</t>
  </si>
  <si>
    <t>Quinn, Julie &amp;  Stallings, Sandra</t>
  </si>
  <si>
    <t>7860 E. Benson Hwy Tucson AZ 85756</t>
  </si>
  <si>
    <t>*450 sq ft Ventana Mesquite Light; irrigation with 100' poly line, time, valve
Voyager RV Park;  TURF EST for lady waiting on getting into her house so meet her where she is currently staying (gave me number 11189 and says guard will help you find) in the Park Models.  W.B. 8/2</t>
  </si>
  <si>
    <t>Quiroga, Ralph</t>
  </si>
  <si>
    <t>Mobile:(206) 769-6305</t>
  </si>
  <si>
    <t>ralphquiroga@hotmail.com</t>
  </si>
  <si>
    <t>Ralph  Quiroga</t>
  </si>
  <si>
    <t>7735 E. Castle Valley Way Tucson AZ 85750</t>
  </si>
  <si>
    <t>2016-06-27 00:00:00</t>
  </si>
  <si>
    <t>*720 sq ft Ventana Mesquite Light pool wrap; 17' Belgard Pavers (color:  tbd)
Sunrise/Sabino Canyon.  Turf est/sq ft unknown.  LL  4/14</t>
  </si>
  <si>
    <t>Reidhead, Allison</t>
  </si>
  <si>
    <t>Mobile:927-4683</t>
  </si>
  <si>
    <t>allisonreidhead@gmail.com</t>
  </si>
  <si>
    <t>Allison  Reidhead</t>
  </si>
  <si>
    <t>8768 W. Saguaro Moon Rd. Marana AZ 85653</t>
  </si>
  <si>
    <t>645</t>
  </si>
  <si>
    <t>*645 sq ft Ventana Spring LIght
Saguaro Bloom (Twin Peaks/Silverbell);  TURF/MASONRY EST for backyard area; Allison is off Thursday.  W.B. 5/10
allisonreidhead@gmail.com</t>
  </si>
  <si>
    <t>Reid Park Zoo</t>
  </si>
  <si>
    <t>Phone:(520) 881-4753 Mobile:(520) 837-8221</t>
  </si>
  <si>
    <t>Gail@reidparkzoo.org</t>
  </si>
  <si>
    <t>3400 E Zoo Ct. Tucson AZ 85716</t>
  </si>
  <si>
    <t xml:space="preserve">Measure areas in front and in play area per Toby request 8/17 on phone.  W.B. </t>
  </si>
  <si>
    <t>Reliable Landscaping</t>
  </si>
  <si>
    <t>Phone:(520) 742-7733 Fax:(520) 878-9273 Mobile:272-3141</t>
  </si>
  <si>
    <t>focused@reliablelandscapeservices.com</t>
  </si>
  <si>
    <t>Jeff</t>
  </si>
  <si>
    <t>7320 N. La Cholla Blvd., #154-137 Tucson AZ 85741</t>
  </si>
  <si>
    <t>2016-06-21 00:00:00</t>
  </si>
  <si>
    <t>Tanque Verde/Houghton;  TURF AND IRRIGATION EST for backyard.  W.B. 6/14</t>
  </si>
  <si>
    <t>Reliable Landscaping:1133 W. Saddlehorn</t>
  </si>
  <si>
    <t xml:space="preserve">Phone:272-3141 </t>
  </si>
  <si>
    <t>Reliable Landscape Services7320 N. La Cholla Blvd., #154-137 Tucson AZ 85741</t>
  </si>
  <si>
    <t>Reliable Landscaping:1265 W. Versilia Drive</t>
  </si>
  <si>
    <t>1265 W. Versilia Drive Oro Valley AZ 85755</t>
  </si>
  <si>
    <t>Richard</t>
  </si>
  <si>
    <t xml:space="preserve">Phone:572-6382 </t>
  </si>
  <si>
    <t>davidalanrichard@yahoo.com</t>
  </si>
  <si>
    <t>David  Richard</t>
  </si>
  <si>
    <t>5565 N. Durham Hills St. Marana AZ 85658</t>
  </si>
  <si>
    <t>Rich, Melissa</t>
  </si>
  <si>
    <t>Mobile:(520) 406-0689</t>
  </si>
  <si>
    <t>arichexperience@hotmail.com</t>
  </si>
  <si>
    <t>Melissa  Rich</t>
  </si>
  <si>
    <t>264 E. Painted Pottery Pl. Oro Valley AZ 85755</t>
  </si>
  <si>
    <t>*375 sq ft Ventana mesquite Light; move play system
Per Toby 8/17</t>
  </si>
  <si>
    <t>Ridge, Jim</t>
  </si>
  <si>
    <t>Mobile:(520) 891-9517</t>
  </si>
  <si>
    <t>theridges@cox.net</t>
  </si>
  <si>
    <t>Jim  Ridge</t>
  </si>
  <si>
    <t>5780 E. 14th St. Tucson AZ 85711</t>
  </si>
  <si>
    <t>2016-08-29 00:00:00</t>
  </si>
  <si>
    <t>*585 sq ft Ventana Mesquite Light; sod removal
Broadway/Craycroft;  TURF EST for unknown area; needs late afternoons.  W.B. 6/24</t>
  </si>
  <si>
    <t>Rowe, Dan</t>
  </si>
  <si>
    <t>Mobile:(520) 360-9372</t>
  </si>
  <si>
    <t>dangrowe14@gmail.com</t>
  </si>
  <si>
    <t>Dan  Rowe</t>
  </si>
  <si>
    <t>6851 E. Baker St. Tucson AZ 85710</t>
  </si>
  <si>
    <t xml:space="preserve">Speedway/Kolb;  TURF ISSUE--NEED TO LOOK AT 6/2014 install of 600 sq ft of Tucson Pro IV; had major leak and needs to see if turf is bad or whatever; PLEASE CALL ON WAY.  W.B. 7/7
**************Hi Wendy,the 27th is fine.  As we get closer to that date, please give me an
arrival time window and have the crew call me 30 - 45 minutes before
they are expected to reach our home.
Thank you,
Dan************************
</t>
  </si>
  <si>
    <t>Roy, Kandi</t>
  </si>
  <si>
    <t>Phone:(520) 260-4462 Mobile:(970) 819-6868</t>
  </si>
  <si>
    <t>reelbigfishii@aol.com</t>
  </si>
  <si>
    <t>Kandi  Roy</t>
  </si>
  <si>
    <t>1217 N. Marshview Lane Green Valley AZ 85614</t>
  </si>
  <si>
    <t>2018-01-22 00:00:00</t>
  </si>
  <si>
    <t xml:space="preserve">*300 sq ft Ventana Mesquite Light; Zeofill
Green Valley; SET UP PER JIMMIE ICAL 1/9
</t>
  </si>
  <si>
    <t>Ryals, Jeff</t>
  </si>
  <si>
    <t>Mobile:(520) 255-5979</t>
  </si>
  <si>
    <t>jeffryals@hotmail.com</t>
  </si>
  <si>
    <t>Jeff  Ryals</t>
  </si>
  <si>
    <t>1407 San Simeon Dr. Sierra Vista AZ 85635</t>
  </si>
  <si>
    <t>2016-07-20 00:00:00</t>
  </si>
  <si>
    <t>*1,020 sq ft Ventana Spring Light; remove half of rock
Sierra Vista</t>
  </si>
  <si>
    <t>Spahr, Gail</t>
  </si>
  <si>
    <t>Mobile:907-1046</t>
  </si>
  <si>
    <t>gksrtm@aol.com</t>
  </si>
  <si>
    <t>Gail  Spahr</t>
  </si>
  <si>
    <t>11380 N. Meadow Sage Dr. Tucson AZ 85737</t>
  </si>
  <si>
    <t>2016-05-24 00:00:00</t>
  </si>
  <si>
    <t>La Cholla/Naranja</t>
  </si>
  <si>
    <t>Stensrud, Jeff</t>
  </si>
  <si>
    <t>Mobile:575-6093</t>
  </si>
  <si>
    <t>jeffstensrud@gmail.com</t>
  </si>
  <si>
    <t>Jeff  Stensrud</t>
  </si>
  <si>
    <t>1621 W. Montenegro Dr. Tucson AZ 85704</t>
  </si>
  <si>
    <t>510</t>
  </si>
  <si>
    <t xml:space="preserve">*510 sq ft Ventana Mesquite Light; dirt removal
Ina/La Canada;  TURF EST for someone Jimmie texted me about; no other info given.  W.B. 5/16
 </t>
  </si>
  <si>
    <t>St. Mark's Early Childhood Center</t>
  </si>
  <si>
    <t xml:space="preserve">Phone:797-2925 </t>
  </si>
  <si>
    <t>stmarksecc@earthlink.net</t>
  </si>
  <si>
    <t>Judy</t>
  </si>
  <si>
    <t>1431 W. Magee Rd. Tucson AZ 85704</t>
  </si>
  <si>
    <t>2016-07-16 00:00:00</t>
  </si>
  <si>
    <t>*900 sq ft Ventana Mesquite Light; sod removal
49rs area;  TURF EST for lady who "can't get anyone to come out there and look at her turf"; wants it done asap so seems motivated.  W.B. 3/22
***HAD HELD 8/10 for her but Jimmie said cannot get a hold of/cannot get deposit, etc.*****</t>
  </si>
  <si>
    <t>Stratford Management</t>
  </si>
  <si>
    <t xml:space="preserve">Phone:795-6500 </t>
  </si>
  <si>
    <t>monica@stratfordmanagement.org</t>
  </si>
  <si>
    <t>Monica</t>
  </si>
  <si>
    <t>1790 E. River Road Tucson AZ</t>
  </si>
  <si>
    <t>2018-01-23 00:00:00</t>
  </si>
  <si>
    <t xml:space="preserve">Fyi from Sean Get Outlook for Android
________________________________
From: Wendy Bourguet
Sent: Thursday, January 18, 2018 7:34:27 PM (UTC) Coordinated Universal Time
To: Jimmie Noriega; Toby Bourguet; Kendra Sewell; monica.roebuck@gmail.com; Aaron Ramirez; robbybourguet9@gmail.com
Subject: EMPLOYEE MEETING
When: Tuesday, January 23, 2018 10:00 PM-11:00 PM.
Where: 7751 N Via Atascadero (7751 N Via Atascadero, Marana, AZ 85743, United States)
TO DISCUSS REPLACEMENT PLAN
</t>
  </si>
  <si>
    <t>Stratford Management:Ironwood Canyon</t>
  </si>
  <si>
    <t>Strauch, Len</t>
  </si>
  <si>
    <t>Mobile:(773) 879-6311</t>
  </si>
  <si>
    <t>lens22nm@att.net</t>
  </si>
  <si>
    <t>Len  Strauch</t>
  </si>
  <si>
    <t>3120 N. Camino De Oeste Tucson AZ 85745</t>
  </si>
  <si>
    <t>2016-06-07 00:00:00</t>
  </si>
  <si>
    <t>*825 sq ft Ventana Spring Light (no sod removal)
Silverbell/Sweetwater;  TURF EST for unknown area for a guy who lives in Chicago who rents out property.  W.B. 3/29
lens22nm@att.net</t>
  </si>
  <si>
    <t>Struse, Tim</t>
  </si>
  <si>
    <t>Mobile:260-7377</t>
  </si>
  <si>
    <t>timstruse@gmail.com</t>
  </si>
  <si>
    <t>Tim  Struse</t>
  </si>
  <si>
    <t>1542 W. Sage Brook Ct. Oro Valley AZ 85737</t>
  </si>
  <si>
    <t>570</t>
  </si>
  <si>
    <t>*570 sq ft Ventana Spring Light; sod removal; irr cap
Tangerine/La Canada;  TURF EST for unknown area; wanted weekend estimate but worked this time out.  W.B. 8/15</t>
  </si>
  <si>
    <t>St. Thomas Preschool</t>
  </si>
  <si>
    <t>Phone:577-0503 ext. 120 Mobile:520-631-1522 Michelle</t>
  </si>
  <si>
    <t>sthomaspreschool@gmail.com</t>
  </si>
  <si>
    <t>5150 N. Valley View Rd. Tucson AZ 85718</t>
  </si>
  <si>
    <t>2016-07-18 00:00:00</t>
  </si>
  <si>
    <t>1400</t>
  </si>
  <si>
    <t>*1400 sq ft Tucson Premium Play Turf; 900 sq ft Foam Padding for fall zones;
Swan/Sunrise;  TURF EST for unknown area set up by Toby.  W.B. 5/3</t>
  </si>
  <si>
    <t>Terra Environmental Services LLC:Newman</t>
  </si>
  <si>
    <t>Fax:Fax: 520-219-9393 Mobile:(520) 861-4792</t>
  </si>
  <si>
    <t>liv1des@netscape.net</t>
  </si>
  <si>
    <t>Newman</t>
  </si>
  <si>
    <t>961 E. Calle Mariposa Tucson AZ 85718</t>
  </si>
  <si>
    <t>2016-08-11 00:00:00</t>
  </si>
  <si>
    <t>920 sq'  ventana mesquite lt</t>
  </si>
  <si>
    <t>Total Construction &amp; Design:Moore</t>
  </si>
  <si>
    <t xml:space="preserve">Phone:906-8018 </t>
  </si>
  <si>
    <t>jrusselltcd@comcast.net</t>
  </si>
  <si>
    <t>Moore</t>
  </si>
  <si>
    <t>7781 S. Ave De Belleza Tucson AZ 85747</t>
  </si>
  <si>
    <t>Trails West</t>
  </si>
  <si>
    <t>Phone:574-0298 Mobile:909-3994</t>
  </si>
  <si>
    <t>office@trailswest.net</t>
  </si>
  <si>
    <t>Ken</t>
  </si>
  <si>
    <t>Attn:  Ken8401 S. Kolb Tucson AZ 85756</t>
  </si>
  <si>
    <t>PER KENDRA TEXT 6/27</t>
  </si>
  <si>
    <t>Tucson Country Club</t>
  </si>
  <si>
    <t xml:space="preserve">Phone:298-2381 </t>
  </si>
  <si>
    <t>troyfinley44@aol.com</t>
  </si>
  <si>
    <t>Troy  Finley</t>
  </si>
  <si>
    <t>2950 N Camino Principal Tucson AZ 85715-3113</t>
  </si>
  <si>
    <t>Tucson Country Club;  PUTTING GREEN REPLACEMENT for Tommy Sullivan, Jr.'s house (that is what it said on parcel search) :) you are meeting with Hal who is the owner of Builders of America for his client.  W.B. 6/8
TOO FUNNY!!!!!!!!!!!!!!</t>
  </si>
  <si>
    <t>Tucson Sportspark</t>
  </si>
  <si>
    <t xml:space="preserve">Phone:400-8323 </t>
  </si>
  <si>
    <t>championshipsports1@gmail.com</t>
  </si>
  <si>
    <t>Lou</t>
  </si>
  <si>
    <t>Tucson SportsPark6901 N. Casa Grande Hwy. Tucson AZ 85743</t>
  </si>
  <si>
    <t>Tucson Sportspark:Overseeding 2011</t>
  </si>
  <si>
    <t>Tutalo, Judy</t>
  </si>
  <si>
    <t>Phone:272-4084 Mobile:760-1746</t>
  </si>
  <si>
    <t>Judy  Tutalo</t>
  </si>
  <si>
    <t>2971 N. Wentworth Rd. Tucson AZ 85749</t>
  </si>
  <si>
    <t>Vail Christian Church</t>
  </si>
  <si>
    <t xml:space="preserve">Phone:(520) 400-9627 </t>
  </si>
  <si>
    <t>ben@vailchristian.com</t>
  </si>
  <si>
    <t>9455 E. Valencia Rd. Tucson AZ 85747</t>
  </si>
  <si>
    <t>2016-06-24 00:00:00</t>
  </si>
  <si>
    <t>Valencia/Houghton;  TURF EST for Church; is interested in installed pricing and turf only pricing as he believes his congregation will provide all the labor; told him you would show split pricing; go into church to office area to locate Ben.  W.B. 6/23</t>
  </si>
  <si>
    <t>Vera</t>
  </si>
  <si>
    <t xml:space="preserve">Phone:624-2834 </t>
  </si>
  <si>
    <t>lvera05@yahoo.com</t>
  </si>
  <si>
    <t>Leo &amp; Lori  Vera</t>
  </si>
  <si>
    <t>1011 N. Columbia Tucson AZ 85745</t>
  </si>
  <si>
    <t>Verity, Peter</t>
  </si>
  <si>
    <t>Mobile:720-6211</t>
  </si>
  <si>
    <t>tucsonmema@icloud.com</t>
  </si>
  <si>
    <t>Peter  Verity</t>
  </si>
  <si>
    <t>332 W. Andrew Potter St. Vail AZ 85641</t>
  </si>
  <si>
    <t>540</t>
  </si>
  <si>
    <t>*540 sq ft Ventana Spring Light
Corona De Tucson;  TURF EST for unknown area.  W.B. 7/6</t>
  </si>
  <si>
    <t>Wall</t>
  </si>
  <si>
    <t xml:space="preserve">Phone:405-6316 </t>
  </si>
  <si>
    <t>DRWALLINC@earthlink.net</t>
  </si>
  <si>
    <t>Dennis  Wall</t>
  </si>
  <si>
    <t>11246 N. Mountain Breeze Dr. Oro Valley AZ 85737</t>
  </si>
  <si>
    <t>Tangerine/Thornydale;  TURF EST for area for kids between concrete patio and block wall where there is existing gravel.  
****GATE CODE:  3458 *******W.B. 5/24</t>
  </si>
  <si>
    <t>White, Jessica</t>
  </si>
  <si>
    <t xml:space="preserve">Phone:(520) 471-5401 </t>
  </si>
  <si>
    <t>redhotrun@juno.com</t>
  </si>
  <si>
    <t>Jessica  White</t>
  </si>
  <si>
    <t>7448 W. Dream Maker Pl. Tucson AZ 85743</t>
  </si>
  <si>
    <t>2016-06-10 00:00:00</t>
  </si>
  <si>
    <t>CALL ME ABOUT THIS ESTIMATE BEFORE YOU GO!!</t>
  </si>
  <si>
    <t>Woodland Villas II</t>
  </si>
  <si>
    <t xml:space="preserve">Phone:885-7520 </t>
  </si>
  <si>
    <t>Frank</t>
  </si>
  <si>
    <t>8137 E. Rivenoak Dr. Tucson AZ 85715</t>
  </si>
  <si>
    <t>2016-06-05 00:00:00</t>
  </si>
  <si>
    <t>Per Toby email 3/10 (no paperwork; emailed Heather but no reply) cannot locate estimate from 2/16</t>
  </si>
  <si>
    <t>Wright, Linda</t>
  </si>
  <si>
    <t>Mobile:404-0026</t>
  </si>
  <si>
    <t>wrightstuc@comcast.net</t>
  </si>
  <si>
    <t>Linda  Wright</t>
  </si>
  <si>
    <t>5302 E. Camino Rio De Luz Tucson AZ 85718</t>
  </si>
  <si>
    <t>River/Craycroft</t>
  </si>
  <si>
    <t>Young, Scott</t>
  </si>
  <si>
    <t>Mobile:(520) 390-5028</t>
  </si>
  <si>
    <t>azbaron@live.com</t>
  </si>
  <si>
    <t>Scott  Young</t>
  </si>
  <si>
    <t>2500 E. Forgeus Pl. Tucson AZ 85716</t>
  </si>
  <si>
    <t>2016-07-03 00:00:00</t>
  </si>
  <si>
    <t>*180 sq. ft Ventana Spring Light/Zeofill; sod removal
Broadway/Tucson Blvd.; TURF EST for approx. 200 sq ft rectangle shape; dog urine killing grass.  Works 8-5 but will get off early that day.  W.B. 6/13
*****was supposed to install 8/3/CANCELLED/CC REFUNDED/KEPT ON CALENDAR FOR FUTURE SEARCH INFO******</t>
  </si>
  <si>
    <t>Ziegler, Steve</t>
  </si>
  <si>
    <t>Mobile:631-1671</t>
  </si>
  <si>
    <t>oldpuebloseptic@msn.com</t>
  </si>
  <si>
    <t>Steve  Ziegler</t>
  </si>
  <si>
    <t>10916 N. Pusch Ridge View Pl. Oro Valley AZ 85737</t>
  </si>
  <si>
    <t>*900 sq ft Ventana Spring Light; rock removal
Oracle/Linda Vista.  Please call him that morning as a reminder.  Turf est/sq ft unknown.  LL  4/14</t>
  </si>
  <si>
    <t>Top Price ($1.80)</t>
  </si>
  <si>
    <t>Good Price ($1.50)</t>
  </si>
  <si>
    <t>OK Price ($1.30)</t>
  </si>
  <si>
    <t>Discounted Price ($1.25)</t>
  </si>
  <si>
    <t>Bottom Dollar ($.99)</t>
  </si>
  <si>
    <t>Primary Phone</t>
  </si>
  <si>
    <t>Street</t>
  </si>
  <si>
    <t>City</t>
  </si>
  <si>
    <t>State</t>
  </si>
  <si>
    <t>Zip</t>
  </si>
  <si>
    <t>10570 E. Eisenbergs Pl.</t>
  </si>
  <si>
    <t>Tucson</t>
  </si>
  <si>
    <t>Sierra Vista</t>
  </si>
  <si>
    <t>Tempe</t>
  </si>
  <si>
    <t>Rio Rico</t>
  </si>
  <si>
    <t>1790 E River Road</t>
  </si>
  <si>
    <t>2950 N Camino Principal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</si>
</sst>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4">
    <xf numFmtId="0" fontId="0" fillId="0" borderId="0" xfId="0"/>
    <xf numFmtId="44" fontId="0" fillId="0" borderId="0" xfId="1" applyFont="1"/>
    <xf numFmtId="0" fontId="2" fillId="0" borderId="0" xfId="0" applyFont="1"/>
    <xf numFmtId="44" fontId="2" fillId="0" borderId="0" xfId="1" applyFont="1"/>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5"/>
  <sheetViews>
    <sheetView tabSelected="1" topLeftCell="F1" workbookViewId="0">
      <pane ySplit="1" topLeftCell="A65" activePane="bottomLeft" state="frozen"/>
      <selection pane="bottomLeft" activeCell="G81" sqref="G81"/>
    </sheetView>
  </sheetViews>
  <sheetFormatPr defaultRowHeight="15" x14ac:dyDescent="0.25"/>
  <cols>
    <col min="1" max="1" width="40.140625" bestFit="1" customWidth="1"/>
    <col min="2" max="2" width="15.7109375" customWidth="1"/>
    <col min="3" max="3" width="67.5703125" bestFit="1" customWidth="1"/>
    <col min="4" max="4" width="50.85546875" bestFit="1" customWidth="1"/>
    <col min="5" max="5" width="29.28515625" bestFit="1" customWidth="1"/>
    <col min="6" max="7" width="70.5703125" bestFit="1" customWidth="1"/>
    <col min="8" max="8" width="28.5703125" bestFit="1" customWidth="1"/>
    <col min="9" max="11" width="22.28515625" customWidth="1"/>
    <col min="12" max="12" width="18.28515625" bestFit="1" customWidth="1"/>
    <col min="13" max="13" width="14.85546875" bestFit="1" customWidth="1"/>
    <col min="14" max="14" width="17.28515625" style="1" bestFit="1" customWidth="1"/>
    <col min="15" max="16" width="14.85546875" style="1" customWidth="1"/>
    <col min="17" max="17" width="22.7109375" style="1" bestFit="1" customWidth="1"/>
    <col min="18" max="18" width="19" style="1" bestFit="1" customWidth="1"/>
    <col min="19" max="19" width="255.7109375" bestFit="1" customWidth="1"/>
    <col min="20" max="20" width="5.85546875" bestFit="1" customWidth="1"/>
  </cols>
  <sheetData>
    <row r="1" spans="1:20" s="2" customFormat="1" x14ac:dyDescent="0.25">
      <c r="A1" s="2" t="s">
        <v>0</v>
      </c>
      <c r="B1" s="2" t="s">
        <v>774</v>
      </c>
      <c r="C1" s="2" t="s">
        <v>1</v>
      </c>
      <c r="D1" s="2" t="s">
        <v>2</v>
      </c>
      <c r="E1" s="2" t="s">
        <v>3</v>
      </c>
      <c r="F1" s="2" t="s">
        <v>4</v>
      </c>
      <c r="G1" s="2" t="s">
        <v>5</v>
      </c>
      <c r="H1" s="2" t="s">
        <v>775</v>
      </c>
      <c r="I1" s="2" t="s">
        <v>776</v>
      </c>
      <c r="J1" s="2" t="s">
        <v>777</v>
      </c>
      <c r="K1" s="2" t="s">
        <v>778</v>
      </c>
      <c r="L1" s="2" t="s">
        <v>6</v>
      </c>
      <c r="M1" s="2" t="s">
        <v>7</v>
      </c>
      <c r="N1" s="3" t="s">
        <v>769</v>
      </c>
      <c r="O1" s="3" t="s">
        <v>770</v>
      </c>
      <c r="P1" s="3" t="s">
        <v>771</v>
      </c>
      <c r="Q1" s="3" t="s">
        <v>772</v>
      </c>
      <c r="R1" s="3" t="s">
        <v>773</v>
      </c>
      <c r="S1" s="2" t="s">
        <v>8</v>
      </c>
      <c r="T1" s="2" t="s">
        <v>9</v>
      </c>
    </row>
    <row r="2" spans="1:20" x14ac:dyDescent="0.25">
      <c r="A2" t="s">
        <v>128</v>
      </c>
      <c r="B2" t="str" cm="1">
        <f t="array" ref="B2">_xlfn.LET(
_xlpm.raw,C2,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3607014332</v>
      </c>
      <c r="C2" t="s">
        <v>129</v>
      </c>
      <c r="D2" t="s">
        <v>130</v>
      </c>
      <c r="E2" t="s">
        <v>131</v>
      </c>
      <c r="F2" t="s">
        <v>132</v>
      </c>
      <c r="H2" t="str" cm="1">
        <f t="array" ref="H2">_xlfn.LET(
_xlpm.raw,TRIM(IF(G2&lt;&gt;"",G2,F2)),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3183 W. Vuelta De Los Mineros</v>
      </c>
      <c r="I2" t="str" cm="1">
        <f t="array" ref="I2">_xlfn.LET(
_xlpm.raw,TRIM(IF(G2&lt;&gt;"",G2,F2)),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2" t="str">
        <f>_xlfn.LET(
_xlpm.raw,TRIM(IF(G2&lt;&gt;"",G2,F2)),
IF(ISNUMBER(SEARCH(" AZ ", " "&amp;_xlpm.raw&amp;" ")),"AZ","AZ")
)</f>
        <v>AZ</v>
      </c>
      <c r="K2" t="str" cm="1">
        <f t="array" ref="K2">_xlfn.LET(
_xlpm.raw,TRIM(IF(G2&lt;&gt;"",G2,F2)),
_xlpm.digits,_xlfn.TEXTJOIN("",TRUE,IFERROR(MID(_xlpm.raw,_xlfn.SEQUENCE(LEN(_xlpm.raw)),1)*1,"")),
RIGHT(_xlpm.digits,5)
)</f>
        <v>85745</v>
      </c>
      <c r="L2" t="s">
        <v>133</v>
      </c>
      <c r="M2" t="s">
        <v>134</v>
      </c>
      <c r="N2" s="1">
        <f>M2*1.8</f>
        <v>783</v>
      </c>
      <c r="O2" s="1">
        <f>M2*1.5</f>
        <v>652.5</v>
      </c>
      <c r="P2" s="1">
        <f>M2*1.3</f>
        <v>565.5</v>
      </c>
      <c r="Q2" s="1">
        <f>M2*1.25</f>
        <v>543.75</v>
      </c>
      <c r="R2" s="1">
        <f>M2*0.99</f>
        <v>430.65</v>
      </c>
      <c r="S2" t="s">
        <v>135</v>
      </c>
      <c r="T2">
        <v>23</v>
      </c>
    </row>
    <row r="3" spans="1:20" x14ac:dyDescent="0.25">
      <c r="A3" t="s">
        <v>338</v>
      </c>
      <c r="B3" t="str" cm="1">
        <f t="array" ref="B3">_xlfn.LET(
_xlpm.raw,C3,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5202708742</v>
      </c>
      <c r="C3" t="s">
        <v>339</v>
      </c>
      <c r="D3" t="s">
        <v>340</v>
      </c>
      <c r="E3" t="s">
        <v>341</v>
      </c>
      <c r="F3" t="s">
        <v>342</v>
      </c>
      <c r="G3" t="s">
        <v>342</v>
      </c>
      <c r="H3" t="str" cm="1">
        <f t="array" ref="H3">_xlfn.LET(
_xlpm.raw,TRIM(IF(G3&lt;&gt;"",G3,F3)),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6296 N. Pinnacle Ridge Dr.</v>
      </c>
      <c r="I3" t="str" cm="1">
        <f t="array" ref="I3">_xlfn.LET(
_xlpm.raw,TRIM(IF(G3&lt;&gt;"",G3,F3)),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3" t="str">
        <f t="shared" ref="J3:J66" si="0">_xlfn.LET(
_xlpm.raw,TRIM(IF(G3&lt;&gt;"",G3,F3)),
IF(ISNUMBER(SEARCH(" AZ ", " "&amp;_xlpm.raw&amp;" ")),"AZ","AZ")
)</f>
        <v>AZ</v>
      </c>
      <c r="K3" t="str" cm="1">
        <f t="array" ref="K3">_xlfn.LET(
_xlpm.raw,TRIM(IF(G3&lt;&gt;"",G3,F3)),
_xlpm.digits,_xlfn.TEXTJOIN("",TRUE,IFERROR(MID(_xlpm.raw,_xlfn.SEQUENCE(LEN(_xlpm.raw)),1)*1,"")),
RIGHT(_xlpm.digits,5)
)</f>
        <v>85718</v>
      </c>
      <c r="L3" t="s">
        <v>194</v>
      </c>
      <c r="M3" t="s">
        <v>343</v>
      </c>
      <c r="N3" s="1">
        <f t="shared" ref="N3:N64" si="1">M3*1.8</f>
        <v>2781</v>
      </c>
      <c r="O3" s="1">
        <f t="shared" ref="O3:O64" si="2">M3*1.5</f>
        <v>2317.5</v>
      </c>
      <c r="P3" s="1">
        <f t="shared" ref="P3:P64" si="3">M3*1.3</f>
        <v>2008.5</v>
      </c>
      <c r="Q3" s="1">
        <f t="shared" ref="Q3:Q64" si="4">M3*1.25</f>
        <v>1931.25</v>
      </c>
      <c r="R3" s="1">
        <f t="shared" ref="R3:R64" si="5">M3*0.99</f>
        <v>1529.55</v>
      </c>
      <c r="S3" t="s">
        <v>344</v>
      </c>
      <c r="T3">
        <v>23</v>
      </c>
    </row>
    <row r="4" spans="1:20" x14ac:dyDescent="0.25">
      <c r="A4" t="s">
        <v>719</v>
      </c>
      <c r="B4" t="str" cm="1">
        <f t="array" ref="B4">_xlfn.LET(
_xlpm.raw,C4,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5206242834</v>
      </c>
      <c r="C4" t="s">
        <v>720</v>
      </c>
      <c r="D4" t="s">
        <v>721</v>
      </c>
      <c r="E4" t="s">
        <v>722</v>
      </c>
      <c r="F4" t="s">
        <v>723</v>
      </c>
      <c r="G4" t="s">
        <v>723</v>
      </c>
      <c r="H4" t="str" cm="1">
        <f t="array" ref="H4">_xlfn.LET(
_xlpm.raw,TRIM(IF(G4&lt;&gt;"",G4,F4)),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1011 N. Columbia</v>
      </c>
      <c r="I4" t="str" cm="1">
        <f t="array" ref="I4">_xlfn.LET(
_xlpm.raw,TRIM(IF(G4&lt;&gt;"",G4,F4)),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4" t="str">
        <f t="shared" si="0"/>
        <v>AZ</v>
      </c>
      <c r="K4" t="str" cm="1">
        <f t="array" ref="K4">_xlfn.LET(
_xlpm.raw,TRIM(IF(G4&lt;&gt;"",G4,F4)),
_xlpm.digits,_xlfn.TEXTJOIN("",TRUE,IFERROR(MID(_xlpm.raw,_xlfn.SEQUENCE(LEN(_xlpm.raw)),1)*1,"")),
RIGHT(_xlpm.digits,5)
)</f>
        <v>85745</v>
      </c>
      <c r="L4" t="s">
        <v>133</v>
      </c>
      <c r="M4" t="s">
        <v>134</v>
      </c>
      <c r="N4" s="1">
        <f t="shared" si="1"/>
        <v>783</v>
      </c>
      <c r="O4" s="1">
        <f t="shared" si="2"/>
        <v>652.5</v>
      </c>
      <c r="P4" s="1">
        <f t="shared" si="3"/>
        <v>565.5</v>
      </c>
      <c r="Q4" s="1">
        <f t="shared" si="4"/>
        <v>543.75</v>
      </c>
      <c r="R4" s="1">
        <f t="shared" si="5"/>
        <v>430.65</v>
      </c>
      <c r="S4" t="s">
        <v>135</v>
      </c>
      <c r="T4">
        <v>23</v>
      </c>
    </row>
    <row r="5" spans="1:20" x14ac:dyDescent="0.25">
      <c r="A5" t="s">
        <v>105</v>
      </c>
      <c r="B5" t="str" cm="1">
        <f t="array" ref="B5">_xlfn.LET(
_xlpm.raw,C5,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5202759430</v>
      </c>
      <c r="C5" t="s">
        <v>106</v>
      </c>
      <c r="D5" t="s">
        <v>107</v>
      </c>
      <c r="E5" t="s">
        <v>108</v>
      </c>
      <c r="F5" t="s">
        <v>109</v>
      </c>
      <c r="G5" t="s">
        <v>109</v>
      </c>
      <c r="H5" t="str" cm="1">
        <f t="array" ref="H5">_xlfn.LET(
_xlpm.raw,TRIM(IF(G5&lt;&gt;"",G5,F5)),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11581 E. Speedway Blvd.</v>
      </c>
      <c r="I5" t="str" cm="1">
        <f t="array" ref="I5">_xlfn.LET(
_xlpm.raw,TRIM(IF(G5&lt;&gt;"",G5,F5)),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5" t="str">
        <f t="shared" si="0"/>
        <v>AZ</v>
      </c>
      <c r="K5" t="str" cm="1">
        <f t="array" ref="K5">_xlfn.LET(
_xlpm.raw,TRIM(IF(G5&lt;&gt;"",G5,F5)),
_xlpm.digits,_xlfn.TEXTJOIN("",TRUE,IFERROR(MID(_xlpm.raw,_xlfn.SEQUENCE(LEN(_xlpm.raw)),1)*1,"")),
RIGHT(_xlpm.digits,5)
)</f>
        <v>85748</v>
      </c>
      <c r="L5" t="s">
        <v>110</v>
      </c>
      <c r="N5" s="1">
        <f t="shared" si="1"/>
        <v>0</v>
      </c>
      <c r="O5" s="1">
        <f t="shared" si="2"/>
        <v>0</v>
      </c>
      <c r="P5" s="1">
        <f t="shared" si="3"/>
        <v>0</v>
      </c>
      <c r="Q5" s="1">
        <f t="shared" si="4"/>
        <v>0</v>
      </c>
      <c r="R5" s="1">
        <f t="shared" si="5"/>
        <v>0</v>
      </c>
      <c r="S5" t="s">
        <v>111</v>
      </c>
      <c r="T5">
        <v>19</v>
      </c>
    </row>
    <row r="6" spans="1:20" x14ac:dyDescent="0.25">
      <c r="A6" t="s">
        <v>591</v>
      </c>
      <c r="B6" t="str" cm="1">
        <f t="array" ref="B6">_xlfn.LET(
_xlpm.raw,C6,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5205726382</v>
      </c>
      <c r="C6" t="s">
        <v>592</v>
      </c>
      <c r="D6" t="s">
        <v>593</v>
      </c>
      <c r="E6" t="s">
        <v>594</v>
      </c>
      <c r="F6" t="s">
        <v>595</v>
      </c>
      <c r="G6" t="s">
        <v>595</v>
      </c>
      <c r="H6" t="str" cm="1">
        <f t="array" ref="H6">_xlfn.LET(
_xlpm.raw,TRIM(IF(G6&lt;&gt;"",G6,F6)),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5565 N. Durham Hills St.</v>
      </c>
      <c r="I6" t="str" cm="1">
        <f t="array" ref="I6">_xlfn.LET(
_xlpm.raw,TRIM(IF(G6&lt;&gt;"",G6,F6)),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Marana</v>
      </c>
      <c r="J6" t="str">
        <f t="shared" si="0"/>
        <v>AZ</v>
      </c>
      <c r="K6" t="str" cm="1">
        <f t="array" ref="K6">_xlfn.LET(
_xlpm.raw,TRIM(IF(G6&lt;&gt;"",G6,F6)),
_xlpm.digits,_xlfn.TEXTJOIN("",TRUE,IFERROR(MID(_xlpm.raw,_xlfn.SEQUENCE(LEN(_xlpm.raw)),1)*1,"")),
RIGHT(_xlpm.digits,5)
)</f>
        <v>85658</v>
      </c>
      <c r="L6" t="s">
        <v>110</v>
      </c>
      <c r="N6" s="1">
        <f t="shared" si="1"/>
        <v>0</v>
      </c>
      <c r="O6" s="1">
        <f t="shared" si="2"/>
        <v>0</v>
      </c>
      <c r="P6" s="1">
        <f t="shared" si="3"/>
        <v>0</v>
      </c>
      <c r="Q6" s="1">
        <f t="shared" si="4"/>
        <v>0</v>
      </c>
      <c r="R6" s="1">
        <f t="shared" si="5"/>
        <v>0</v>
      </c>
      <c r="S6" t="s">
        <v>111</v>
      </c>
      <c r="T6">
        <v>19</v>
      </c>
    </row>
    <row r="7" spans="1:20" x14ac:dyDescent="0.25">
      <c r="A7" t="s">
        <v>389</v>
      </c>
      <c r="B7" t="str" cm="1">
        <f t="array" ref="B7">_xlfn.LET(
_xlpm.raw,C7,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5203274696</v>
      </c>
      <c r="C7" t="s">
        <v>390</v>
      </c>
      <c r="D7" t="s">
        <v>391</v>
      </c>
      <c r="E7" t="s">
        <v>392</v>
      </c>
      <c r="F7" t="s">
        <v>393</v>
      </c>
      <c r="G7" t="s">
        <v>393</v>
      </c>
      <c r="H7" t="str" cm="1">
        <f t="array" ref="H7">_xlfn.LET(
_xlpm.raw,TRIM(IF(G7&lt;&gt;"",G7,F7)),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35 E. Calle Belleza</v>
      </c>
      <c r="I7" t="str" cm="1">
        <f t="array" ref="I7">_xlfn.LET(
_xlpm.raw,TRIM(IF(G7&lt;&gt;"",G7,F7)),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7" t="str">
        <f t="shared" si="0"/>
        <v>AZ</v>
      </c>
      <c r="K7" t="str" cm="1">
        <f t="array" ref="K7">_xlfn.LET(
_xlpm.raw,TRIM(IF(G7&lt;&gt;"",G7,F7)),
_xlpm.digits,_xlfn.TEXTJOIN("",TRUE,IFERROR(MID(_xlpm.raw,_xlfn.SEQUENCE(LEN(_xlpm.raw)),1)*1,"")),
RIGHT(_xlpm.digits,5)
)</f>
        <v>85716</v>
      </c>
      <c r="L7" t="s">
        <v>23</v>
      </c>
      <c r="M7" t="s">
        <v>394</v>
      </c>
      <c r="N7" s="1">
        <f t="shared" si="1"/>
        <v>1296</v>
      </c>
      <c r="O7" s="1">
        <f t="shared" si="2"/>
        <v>1080</v>
      </c>
      <c r="P7" s="1">
        <f t="shared" si="3"/>
        <v>936</v>
      </c>
      <c r="Q7" s="1">
        <f t="shared" si="4"/>
        <v>900</v>
      </c>
      <c r="R7" s="1">
        <f t="shared" si="5"/>
        <v>712.8</v>
      </c>
      <c r="S7" t="s">
        <v>395</v>
      </c>
      <c r="T7">
        <v>18</v>
      </c>
    </row>
    <row r="8" spans="1:20" x14ac:dyDescent="0.25">
      <c r="A8" t="s">
        <v>609</v>
      </c>
      <c r="B8" t="str" cm="1">
        <f t="array" ref="B8">_xlfn.LET(
_xlpm.raw,C8,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5203609372</v>
      </c>
      <c r="C8" t="s">
        <v>610</v>
      </c>
      <c r="D8" t="s">
        <v>611</v>
      </c>
      <c r="E8" t="s">
        <v>612</v>
      </c>
      <c r="F8" t="s">
        <v>613</v>
      </c>
      <c r="G8" t="s">
        <v>613</v>
      </c>
      <c r="H8" t="str" cm="1">
        <f t="array" ref="H8">_xlfn.LET(
_xlpm.raw,TRIM(IF(G8&lt;&gt;"",G8,F8)),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6851 E. Baker St.</v>
      </c>
      <c r="I8" t="str" cm="1">
        <f t="array" ref="I8">_xlfn.LET(
_xlpm.raw,TRIM(IF(G8&lt;&gt;"",G8,F8)),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8" t="str">
        <f t="shared" si="0"/>
        <v>AZ</v>
      </c>
      <c r="K8" t="str" cm="1">
        <f t="array" ref="K8">_xlfn.LET(
_xlpm.raw,TRIM(IF(G8&lt;&gt;"",G8,F8)),
_xlpm.digits,_xlfn.TEXTJOIN("",TRUE,IFERROR(MID(_xlpm.raw,_xlfn.SEQUENCE(LEN(_xlpm.raw)),1)*1,"")),
RIGHT(_xlpm.digits,5)
)</f>
        <v>85710</v>
      </c>
      <c r="L8" t="s">
        <v>172</v>
      </c>
      <c r="M8" t="s">
        <v>126</v>
      </c>
      <c r="N8" s="1">
        <f t="shared" si="1"/>
        <v>1080</v>
      </c>
      <c r="O8" s="1">
        <f t="shared" si="2"/>
        <v>900</v>
      </c>
      <c r="P8" s="1">
        <f t="shared" si="3"/>
        <v>780</v>
      </c>
      <c r="Q8" s="1">
        <f t="shared" si="4"/>
        <v>750</v>
      </c>
      <c r="R8" s="1">
        <f t="shared" si="5"/>
        <v>594</v>
      </c>
      <c r="S8" t="s">
        <v>614</v>
      </c>
      <c r="T8">
        <v>18</v>
      </c>
    </row>
    <row r="9" spans="1:20" x14ac:dyDescent="0.25">
      <c r="A9" t="s">
        <v>41</v>
      </c>
      <c r="B9" t="str" cm="1">
        <f t="array" ref="B9">_xlfn.LET(
_xlpm.raw,C9,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5204654015</v>
      </c>
      <c r="C9" t="s">
        <v>42</v>
      </c>
      <c r="D9" t="s">
        <v>43</v>
      </c>
      <c r="E9" t="s">
        <v>44</v>
      </c>
      <c r="F9" t="s">
        <v>45</v>
      </c>
      <c r="G9" t="s">
        <v>45</v>
      </c>
      <c r="H9" t="str" cm="1">
        <f t="array" ref="H9">_xlfn.LET(
_xlpm.raw,TRIM(IF(G9&lt;&gt;"",G9,F9)),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6743 E. Rosewood Pl.</v>
      </c>
      <c r="I9" t="str" cm="1">
        <f t="array" ref="I9">_xlfn.LET(
_xlpm.raw,TRIM(IF(G9&lt;&gt;"",G9,F9)),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9" t="str">
        <f t="shared" si="0"/>
        <v>AZ</v>
      </c>
      <c r="K9" t="str" cm="1">
        <f t="array" ref="K9">_xlfn.LET(
_xlpm.raw,TRIM(IF(G9&lt;&gt;"",G9,F9)),
_xlpm.digits,_xlfn.TEXTJOIN("",TRUE,IFERROR(MID(_xlpm.raw,_xlfn.SEQUENCE(LEN(_xlpm.raw)),1)*1,"")),
RIGHT(_xlpm.digits,5)
)</f>
        <v>85710</v>
      </c>
      <c r="L9" t="s">
        <v>46</v>
      </c>
      <c r="M9" t="s">
        <v>47</v>
      </c>
      <c r="N9" s="1">
        <f t="shared" si="1"/>
        <v>1620</v>
      </c>
      <c r="O9" s="1">
        <f t="shared" si="2"/>
        <v>1350</v>
      </c>
      <c r="P9" s="1">
        <f t="shared" si="3"/>
        <v>1170</v>
      </c>
      <c r="Q9" s="1">
        <f t="shared" si="4"/>
        <v>1125</v>
      </c>
      <c r="R9" s="1">
        <f t="shared" si="5"/>
        <v>891</v>
      </c>
      <c r="S9" t="s">
        <v>48</v>
      </c>
      <c r="T9">
        <v>16</v>
      </c>
    </row>
    <row r="10" spans="1:20" x14ac:dyDescent="0.25">
      <c r="A10" t="s">
        <v>63</v>
      </c>
      <c r="B10" t="str" cm="1">
        <f t="array" ref="B10">_xlfn.LET(
_xlpm.raw,C10,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5208857699</v>
      </c>
      <c r="C10" t="s">
        <v>64</v>
      </c>
      <c r="D10" t="s">
        <v>65</v>
      </c>
      <c r="E10" t="s">
        <v>66</v>
      </c>
      <c r="F10" t="s">
        <v>67</v>
      </c>
      <c r="G10" t="s">
        <v>67</v>
      </c>
      <c r="H10" t="str" cm="1">
        <f t="array" ref="H10">_xlfn.LET(
_xlpm.raw,TRIM(IF(G10&lt;&gt;"",G10,F10)),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9311 E. Anne Pl.</v>
      </c>
      <c r="I10" t="str" cm="1">
        <f t="array" ref="I10">_xlfn.LET(
_xlpm.raw,TRIM(IF(G10&lt;&gt;"",G10,F10)),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0" t="str">
        <f t="shared" si="0"/>
        <v>AZ</v>
      </c>
      <c r="K10" t="str" cm="1">
        <f t="array" ref="K10">_xlfn.LET(
_xlpm.raw,TRIM(IF(G10&lt;&gt;"",G10,F10)),
_xlpm.digits,_xlfn.TEXTJOIN("",TRUE,IFERROR(MID(_xlpm.raw,_xlfn.SEQUENCE(LEN(_xlpm.raw)),1)*1,"")),
RIGHT(_xlpm.digits,5)
)</f>
        <v>85710</v>
      </c>
      <c r="L10" t="s">
        <v>68</v>
      </c>
      <c r="M10" t="s">
        <v>69</v>
      </c>
      <c r="N10" s="1">
        <f t="shared" si="1"/>
        <v>2268</v>
      </c>
      <c r="O10" s="1">
        <f t="shared" si="2"/>
        <v>1890</v>
      </c>
      <c r="P10" s="1">
        <f t="shared" si="3"/>
        <v>1638</v>
      </c>
      <c r="Q10" s="1">
        <f t="shared" si="4"/>
        <v>1575</v>
      </c>
      <c r="R10" s="1">
        <f t="shared" si="5"/>
        <v>1247.4000000000001</v>
      </c>
      <c r="S10" t="s">
        <v>70</v>
      </c>
      <c r="T10">
        <v>16</v>
      </c>
    </row>
    <row r="11" spans="1:20" x14ac:dyDescent="0.25">
      <c r="A11" t="s">
        <v>89</v>
      </c>
      <c r="B11" t="str" cm="1">
        <f t="array" ref="B11">_xlfn.LET(
_xlpm.raw,C11,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5209717702</v>
      </c>
      <c r="C11" t="s">
        <v>90</v>
      </c>
      <c r="D11" t="s">
        <v>91</v>
      </c>
      <c r="E11" t="s">
        <v>92</v>
      </c>
      <c r="F11" t="s">
        <v>93</v>
      </c>
      <c r="G11" t="s">
        <v>93</v>
      </c>
      <c r="H11" t="str" cm="1">
        <f t="array" ref="H11">_xlfn.LET(
_xlpm.raw,TRIM(IF(G11&lt;&gt;"",G11,F11)),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331 E. Suffolk Dr.</v>
      </c>
      <c r="I11" t="str" cm="1">
        <f t="array" ref="I11">_xlfn.LET(
_xlpm.raw,TRIM(IF(G11&lt;&gt;"",G11,F11)),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1" t="str">
        <f t="shared" si="0"/>
        <v>AZ</v>
      </c>
      <c r="K11" t="str" cm="1">
        <f t="array" ref="K11">_xlfn.LET(
_xlpm.raw,TRIM(IF(G11&lt;&gt;"",G11,F11)),
_xlpm.digits,_xlfn.TEXTJOIN("",TRUE,IFERROR(MID(_xlpm.raw,_xlfn.SEQUENCE(LEN(_xlpm.raw)),1)*1,"")),
RIGHT(_xlpm.digits,5)
)</f>
        <v>85704</v>
      </c>
      <c r="L11" t="s">
        <v>94</v>
      </c>
      <c r="M11" t="s">
        <v>95</v>
      </c>
      <c r="N11" s="1">
        <f t="shared" si="1"/>
        <v>1836</v>
      </c>
      <c r="O11" s="1">
        <f t="shared" si="2"/>
        <v>1530</v>
      </c>
      <c r="P11" s="1">
        <f t="shared" si="3"/>
        <v>1326</v>
      </c>
      <c r="Q11" s="1">
        <f t="shared" si="4"/>
        <v>1275</v>
      </c>
      <c r="R11" s="1">
        <f t="shared" si="5"/>
        <v>1009.8</v>
      </c>
      <c r="S11" t="s">
        <v>96</v>
      </c>
      <c r="T11">
        <v>16</v>
      </c>
    </row>
    <row r="12" spans="1:20" x14ac:dyDescent="0.25">
      <c r="A12" t="s">
        <v>501</v>
      </c>
      <c r="B12" t="str" cm="1">
        <f t="array" ref="B12">_xlfn.LET(
_xlpm.raw,C12,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5209550700</v>
      </c>
      <c r="C12" t="s">
        <v>502</v>
      </c>
      <c r="D12" t="s">
        <v>503</v>
      </c>
      <c r="E12" t="s">
        <v>504</v>
      </c>
      <c r="F12" t="s">
        <v>505</v>
      </c>
      <c r="H12" t="str" cm="1">
        <f t="array" ref="H12">_xlfn.LET(
_xlpm.raw,TRIM(IF(G12&lt;&gt;"",G12,F12)),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1850 N. Camino De Oeste</v>
      </c>
      <c r="I12" t="str" cm="1">
        <f t="array" ref="I12">_xlfn.LET(
_xlpm.raw,TRIM(IF(G12&lt;&gt;"",G12,F12)),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2" t="str">
        <f t="shared" si="0"/>
        <v>AZ</v>
      </c>
      <c r="K12" t="str" cm="1">
        <f t="array" ref="K12">_xlfn.LET(
_xlpm.raw,TRIM(IF(G12&lt;&gt;"",G12,F12)),
_xlpm.digits,_xlfn.TEXTJOIN("",TRUE,IFERROR(MID(_xlpm.raw,_xlfn.SEQUENCE(LEN(_xlpm.raw)),1)*1,"")),
RIGHT(_xlpm.digits,5)
)</f>
        <v>85745</v>
      </c>
      <c r="L12" t="s">
        <v>258</v>
      </c>
      <c r="M12" t="s">
        <v>506</v>
      </c>
      <c r="N12" s="1">
        <f t="shared" si="1"/>
        <v>1485</v>
      </c>
      <c r="O12" s="1">
        <f t="shared" si="2"/>
        <v>1237.5</v>
      </c>
      <c r="P12" s="1">
        <f t="shared" si="3"/>
        <v>1072.5</v>
      </c>
      <c r="Q12" s="1">
        <f t="shared" si="4"/>
        <v>1031.25</v>
      </c>
      <c r="R12" s="1">
        <f t="shared" si="5"/>
        <v>816.75</v>
      </c>
      <c r="S12" t="s">
        <v>507</v>
      </c>
      <c r="T12">
        <v>16</v>
      </c>
    </row>
    <row r="13" spans="1:20" x14ac:dyDescent="0.25">
      <c r="A13" t="s">
        <v>643</v>
      </c>
      <c r="B13" t="str" cm="1">
        <f t="array" ref="B13">_xlfn.LET(
_xlpm.raw,C13,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5207972925</v>
      </c>
      <c r="C13" t="s">
        <v>644</v>
      </c>
      <c r="D13" t="s">
        <v>645</v>
      </c>
      <c r="E13" t="s">
        <v>646</v>
      </c>
      <c r="F13" t="s">
        <v>647</v>
      </c>
      <c r="G13" t="s">
        <v>647</v>
      </c>
      <c r="H13" t="str" cm="1">
        <f t="array" ref="H13">_xlfn.LET(
_xlpm.raw,TRIM(IF(G13&lt;&gt;"",G13,F13)),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1431 W. Magee Rd.</v>
      </c>
      <c r="I13" t="str" cm="1">
        <f t="array" ref="I13">_xlfn.LET(
_xlpm.raw,TRIM(IF(G13&lt;&gt;"",G13,F13)),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3" t="str">
        <f t="shared" si="0"/>
        <v>AZ</v>
      </c>
      <c r="K13" t="str" cm="1">
        <f t="array" ref="K13">_xlfn.LET(
_xlpm.raw,TRIM(IF(G13&lt;&gt;"",G13,F13)),
_xlpm.digits,_xlfn.TEXTJOIN("",TRUE,IFERROR(MID(_xlpm.raw,_xlfn.SEQUENCE(LEN(_xlpm.raw)),1)*1,"")),
RIGHT(_xlpm.digits,5)
)</f>
        <v>85704</v>
      </c>
      <c r="L13" t="s">
        <v>648</v>
      </c>
      <c r="M13" t="s">
        <v>47</v>
      </c>
      <c r="N13" s="1">
        <f t="shared" si="1"/>
        <v>1620</v>
      </c>
      <c r="O13" s="1">
        <f t="shared" si="2"/>
        <v>1350</v>
      </c>
      <c r="P13" s="1">
        <f t="shared" si="3"/>
        <v>1170</v>
      </c>
      <c r="Q13" s="1">
        <f t="shared" si="4"/>
        <v>1125</v>
      </c>
      <c r="R13" s="1">
        <f t="shared" si="5"/>
        <v>891</v>
      </c>
      <c r="S13" t="s">
        <v>649</v>
      </c>
      <c r="T13">
        <v>16</v>
      </c>
    </row>
    <row r="14" spans="1:20" x14ac:dyDescent="0.25">
      <c r="A14" t="s">
        <v>658</v>
      </c>
      <c r="B14" t="str" cm="1">
        <f t="array" ref="B14">_xlfn.LET(
_xlpm.raw,C14,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7738796311</v>
      </c>
      <c r="C14" t="s">
        <v>659</v>
      </c>
      <c r="D14" t="s">
        <v>660</v>
      </c>
      <c r="E14" t="s">
        <v>661</v>
      </c>
      <c r="F14" t="s">
        <v>662</v>
      </c>
      <c r="H14" t="str" cm="1">
        <f t="array" ref="H14">_xlfn.LET(
_xlpm.raw,TRIM(IF(G14&lt;&gt;"",G14,F14)),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3120 N. Camino De Oeste</v>
      </c>
      <c r="I14" t="str" cm="1">
        <f t="array" ref="I14">_xlfn.LET(
_xlpm.raw,TRIM(IF(G14&lt;&gt;"",G14,F14)),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4" t="str">
        <f t="shared" si="0"/>
        <v>AZ</v>
      </c>
      <c r="K14" t="str" cm="1">
        <f t="array" ref="K14">_xlfn.LET(
_xlpm.raw,TRIM(IF(G14&lt;&gt;"",G14,F14)),
_xlpm.digits,_xlfn.TEXTJOIN("",TRUE,IFERROR(MID(_xlpm.raw,_xlfn.SEQUENCE(LEN(_xlpm.raw)),1)*1,"")),
RIGHT(_xlpm.digits,5)
)</f>
        <v>85745</v>
      </c>
      <c r="L14" t="s">
        <v>663</v>
      </c>
      <c r="M14" t="s">
        <v>506</v>
      </c>
      <c r="N14" s="1">
        <f t="shared" si="1"/>
        <v>1485</v>
      </c>
      <c r="O14" s="1">
        <f t="shared" si="2"/>
        <v>1237.5</v>
      </c>
      <c r="P14" s="1">
        <f t="shared" si="3"/>
        <v>1072.5</v>
      </c>
      <c r="Q14" s="1">
        <f t="shared" si="4"/>
        <v>1031.25</v>
      </c>
      <c r="R14" s="1">
        <f t="shared" si="5"/>
        <v>816.75</v>
      </c>
      <c r="S14" t="s">
        <v>664</v>
      </c>
      <c r="T14">
        <v>16</v>
      </c>
    </row>
    <row r="15" spans="1:20" x14ac:dyDescent="0.25">
      <c r="A15" t="s">
        <v>672</v>
      </c>
      <c r="B15">
        <v>5205770503</v>
      </c>
      <c r="C15" t="s">
        <v>673</v>
      </c>
      <c r="D15" t="s">
        <v>674</v>
      </c>
      <c r="F15" t="s">
        <v>675</v>
      </c>
      <c r="G15" t="s">
        <v>675</v>
      </c>
      <c r="H15" t="str" cm="1">
        <f t="array" ref="H15">_xlfn.LET(
_xlpm.raw,TRIM(IF(G15&lt;&gt;"",G15,F15)),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5150 N. Valley View Rd.</v>
      </c>
      <c r="I15" t="str" cm="1">
        <f t="array" ref="I15">_xlfn.LET(
_xlpm.raw,TRIM(IF(G15&lt;&gt;"",G15,F15)),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5" t="str">
        <f t="shared" si="0"/>
        <v>AZ</v>
      </c>
      <c r="K15" t="str" cm="1">
        <f t="array" ref="K15">_xlfn.LET(
_xlpm.raw,TRIM(IF(G15&lt;&gt;"",G15,F15)),
_xlpm.digits,_xlfn.TEXTJOIN("",TRUE,IFERROR(MID(_xlpm.raw,_xlfn.SEQUENCE(LEN(_xlpm.raw)),1)*1,"")),
RIGHT(_xlpm.digits,5)
)</f>
        <v>85718</v>
      </c>
      <c r="L15" t="s">
        <v>676</v>
      </c>
      <c r="M15" t="s">
        <v>677</v>
      </c>
      <c r="N15" s="1">
        <f t="shared" si="1"/>
        <v>2520</v>
      </c>
      <c r="O15" s="1">
        <f t="shared" si="2"/>
        <v>2100</v>
      </c>
      <c r="P15" s="1">
        <f t="shared" si="3"/>
        <v>1820</v>
      </c>
      <c r="Q15" s="1">
        <f t="shared" si="4"/>
        <v>1750</v>
      </c>
      <c r="R15" s="1">
        <f t="shared" si="5"/>
        <v>1386</v>
      </c>
      <c r="S15" t="s">
        <v>678</v>
      </c>
      <c r="T15">
        <v>16</v>
      </c>
    </row>
    <row r="16" spans="1:20" x14ac:dyDescent="0.25">
      <c r="A16" t="s">
        <v>296</v>
      </c>
      <c r="B16" t="str" cm="1">
        <f t="array" ref="B16">_xlfn.LET(
_xlpm.raw,C16,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5207494538</v>
      </c>
      <c r="C16" t="s">
        <v>297</v>
      </c>
      <c r="D16" t="s">
        <v>298</v>
      </c>
      <c r="E16" t="s">
        <v>299</v>
      </c>
      <c r="F16" t="s">
        <v>300</v>
      </c>
      <c r="G16" t="s">
        <v>300</v>
      </c>
      <c r="H16" t="s">
        <v>779</v>
      </c>
      <c r="I16" t="s">
        <v>780</v>
      </c>
      <c r="J16" t="str">
        <f t="shared" si="0"/>
        <v>AZ</v>
      </c>
      <c r="K16">
        <v>85747</v>
      </c>
      <c r="L16" t="s">
        <v>301</v>
      </c>
      <c r="N16" s="1">
        <f t="shared" si="1"/>
        <v>0</v>
      </c>
      <c r="O16" s="1">
        <f t="shared" si="2"/>
        <v>0</v>
      </c>
      <c r="P16" s="1">
        <f t="shared" si="3"/>
        <v>0</v>
      </c>
      <c r="Q16" s="1">
        <f t="shared" si="4"/>
        <v>0</v>
      </c>
      <c r="R16" s="1">
        <f t="shared" si="5"/>
        <v>0</v>
      </c>
      <c r="S16" t="s">
        <v>302</v>
      </c>
      <c r="T16">
        <v>14</v>
      </c>
    </row>
    <row r="17" spans="1:20" x14ac:dyDescent="0.25">
      <c r="A17" t="s">
        <v>434</v>
      </c>
      <c r="B17" t="str" cm="1">
        <f t="array" ref="B17">_xlfn.LET(
_xlpm.raw,C17,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5204901652</v>
      </c>
      <c r="C17" t="s">
        <v>435</v>
      </c>
      <c r="D17" t="s">
        <v>436</v>
      </c>
      <c r="E17" t="s">
        <v>437</v>
      </c>
      <c r="F17" t="s">
        <v>438</v>
      </c>
      <c r="G17" t="s">
        <v>438</v>
      </c>
      <c r="H17" t="str" cm="1">
        <f t="array" ref="H17">_xlfn.LET(
_xlpm.raw,TRIM(IF(G17&lt;&gt;"",G17,F17)),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4370 E. Glenn St.</v>
      </c>
      <c r="I17" t="str" cm="1">
        <f t="array" ref="I17">_xlfn.LET(
_xlpm.raw,TRIM(IF(G17&lt;&gt;"",G17,F17)),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7" t="str">
        <f t="shared" si="0"/>
        <v>AZ</v>
      </c>
      <c r="K17" t="str" cm="1">
        <f t="array" ref="K17">_xlfn.LET(
_xlpm.raw,TRIM(IF(G17&lt;&gt;"",G17,F17)),
_xlpm.digits,_xlfn.TEXTJOIN("",TRUE,IFERROR(MID(_xlpm.raw,_xlfn.SEQUENCE(LEN(_xlpm.raw)),1)*1,"")),
RIGHT(_xlpm.digits,5)
)</f>
        <v>85712</v>
      </c>
      <c r="L17" t="s">
        <v>439</v>
      </c>
      <c r="N17" s="1">
        <f t="shared" si="1"/>
        <v>0</v>
      </c>
      <c r="O17" s="1">
        <f t="shared" si="2"/>
        <v>0</v>
      </c>
      <c r="P17" s="1">
        <f t="shared" si="3"/>
        <v>0</v>
      </c>
      <c r="Q17" s="1">
        <f t="shared" si="4"/>
        <v>0</v>
      </c>
      <c r="R17" s="1">
        <f t="shared" si="5"/>
        <v>0</v>
      </c>
      <c r="S17" t="s">
        <v>440</v>
      </c>
      <c r="T17">
        <v>14</v>
      </c>
    </row>
    <row r="18" spans="1:20" x14ac:dyDescent="0.25">
      <c r="A18" t="s">
        <v>493</v>
      </c>
      <c r="B18" t="str" cm="1">
        <f t="array" ref="B18">_xlfn.LET(
_xlpm.raw,C18,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5209094102</v>
      </c>
      <c r="C18" t="s">
        <v>494</v>
      </c>
      <c r="D18" t="s">
        <v>495</v>
      </c>
      <c r="E18" t="s">
        <v>496</v>
      </c>
      <c r="F18" t="s">
        <v>497</v>
      </c>
      <c r="H18" t="str" cm="1">
        <f t="array" ref="H18">_xlfn.LET(
_xlpm.raw,TRIM(IF(G18&lt;&gt;"",G18,F18)),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5831 E. Placita Alta Reposa</v>
      </c>
      <c r="I18" t="str" cm="1">
        <f t="array" ref="I18">_xlfn.LET(
_xlpm.raw,TRIM(IF(G18&lt;&gt;"",G18,F18)),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8" t="str">
        <f t="shared" si="0"/>
        <v>AZ</v>
      </c>
      <c r="K18" t="str" cm="1">
        <f t="array" ref="K18">_xlfn.LET(
_xlpm.raw,TRIM(IF(G18&lt;&gt;"",G18,F18)),
_xlpm.digits,_xlfn.TEXTJOIN("",TRUE,IFERROR(MID(_xlpm.raw,_xlfn.SEQUENCE(LEN(_xlpm.raw)),1)*1,"")),
RIGHT(_xlpm.digits,5)
)</f>
        <v>85750</v>
      </c>
      <c r="L18" t="s">
        <v>498</v>
      </c>
      <c r="M18" t="s">
        <v>499</v>
      </c>
      <c r="N18" s="1">
        <f t="shared" si="1"/>
        <v>891</v>
      </c>
      <c r="O18" s="1">
        <f t="shared" si="2"/>
        <v>742.5</v>
      </c>
      <c r="P18" s="1">
        <f t="shared" si="3"/>
        <v>643.5</v>
      </c>
      <c r="Q18" s="1">
        <f t="shared" si="4"/>
        <v>618.75</v>
      </c>
      <c r="R18" s="1">
        <f t="shared" si="5"/>
        <v>490.05</v>
      </c>
      <c r="S18" t="s">
        <v>500</v>
      </c>
      <c r="T18">
        <v>14</v>
      </c>
    </row>
    <row r="19" spans="1:20" x14ac:dyDescent="0.25">
      <c r="A19" t="s">
        <v>167</v>
      </c>
      <c r="B19" t="str" cm="1">
        <f t="array" ref="B19">_xlfn.LET(
_xlpm.raw,C19,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5202071576</v>
      </c>
      <c r="C19" t="s">
        <v>168</v>
      </c>
      <c r="D19" t="s">
        <v>169</v>
      </c>
      <c r="E19" t="s">
        <v>170</v>
      </c>
      <c r="F19" t="s">
        <v>171</v>
      </c>
      <c r="G19" t="s">
        <v>171</v>
      </c>
      <c r="H19" t="str" cm="1">
        <f t="array" ref="H19">_xlfn.LET(
_xlpm.raw,TRIM(IF(G19&lt;&gt;"",G19,F19)),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5981 E. 23rd St.</v>
      </c>
      <c r="I19" t="str" cm="1">
        <f t="array" ref="I19">_xlfn.LET(
_xlpm.raw,TRIM(IF(G19&lt;&gt;"",G19,F19)),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9" t="str">
        <f t="shared" si="0"/>
        <v>AZ</v>
      </c>
      <c r="K19" t="str" cm="1">
        <f t="array" ref="K19">_xlfn.LET(
_xlpm.raw,TRIM(IF(G19&lt;&gt;"",G19,F19)),
_xlpm.digits,_xlfn.TEXTJOIN("",TRUE,IFERROR(MID(_xlpm.raw,_xlfn.SEQUENCE(LEN(_xlpm.raw)),1)*1,"")),
RIGHT(_xlpm.digits,5)
)</f>
        <v>85711</v>
      </c>
      <c r="L19" t="s">
        <v>172</v>
      </c>
      <c r="M19" t="s">
        <v>173</v>
      </c>
      <c r="N19" s="1">
        <f t="shared" si="1"/>
        <v>3699</v>
      </c>
      <c r="O19" s="1">
        <f t="shared" si="2"/>
        <v>3082.5</v>
      </c>
      <c r="P19" s="1">
        <f t="shared" si="3"/>
        <v>2671.5</v>
      </c>
      <c r="Q19" s="1">
        <f t="shared" si="4"/>
        <v>2568.75</v>
      </c>
      <c r="R19" s="1">
        <f t="shared" si="5"/>
        <v>2034.45</v>
      </c>
      <c r="S19" t="s">
        <v>174</v>
      </c>
      <c r="T19">
        <v>13</v>
      </c>
    </row>
    <row r="20" spans="1:20" x14ac:dyDescent="0.25">
      <c r="A20" t="s">
        <v>268</v>
      </c>
      <c r="B20" t="str" cm="1">
        <f t="array" ref="B20">_xlfn.LET(
_xlpm.raw,C20,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5202457486</v>
      </c>
      <c r="C20" t="s">
        <v>269</v>
      </c>
      <c r="D20" t="s">
        <v>270</v>
      </c>
      <c r="E20" t="s">
        <v>271</v>
      </c>
      <c r="F20" t="s">
        <v>272</v>
      </c>
      <c r="G20" t="s">
        <v>272</v>
      </c>
      <c r="H20" t="str" cm="1">
        <f t="array" ref="H20">_xlfn.LET(
_xlpm.raw,TRIM(IF(G20&lt;&gt;"",G20,F20)),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1516 S. Cactus Sand Pl.</v>
      </c>
      <c r="I20" t="str" cm="1">
        <f t="array" ref="I20">_xlfn.LET(
_xlpm.raw,TRIM(IF(G20&lt;&gt;"",G20,F20)),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20" t="str">
        <f t="shared" si="0"/>
        <v>AZ</v>
      </c>
      <c r="K20" t="str" cm="1">
        <f t="array" ref="K20">_xlfn.LET(
_xlpm.raw,TRIM(IF(G20&lt;&gt;"",G20,F20)),
_xlpm.digits,_xlfn.TEXTJOIN("",TRUE,IFERROR(MID(_xlpm.raw,_xlfn.SEQUENCE(LEN(_xlpm.raw)),1)*1,"")),
RIGHT(_xlpm.digits,5)
)</f>
        <v>85748</v>
      </c>
      <c r="L20" t="s">
        <v>273</v>
      </c>
      <c r="M20" t="s">
        <v>274</v>
      </c>
      <c r="N20" s="1">
        <f t="shared" si="1"/>
        <v>2808</v>
      </c>
      <c r="O20" s="1">
        <f t="shared" si="2"/>
        <v>2340</v>
      </c>
      <c r="P20" s="1">
        <f t="shared" si="3"/>
        <v>2028</v>
      </c>
      <c r="Q20" s="1">
        <f t="shared" si="4"/>
        <v>1950</v>
      </c>
      <c r="R20" s="1">
        <f t="shared" si="5"/>
        <v>1544.4</v>
      </c>
      <c r="S20" t="s">
        <v>275</v>
      </c>
      <c r="T20">
        <v>13</v>
      </c>
    </row>
    <row r="21" spans="1:20" x14ac:dyDescent="0.25">
      <c r="A21" t="s">
        <v>508</v>
      </c>
      <c r="B21" t="str" cm="1">
        <f t="array" ref="B21">_xlfn.LET(
_xlpm.raw,C21,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5204816060</v>
      </c>
      <c r="C21" t="s">
        <v>509</v>
      </c>
      <c r="D21" t="s">
        <v>510</v>
      </c>
      <c r="E21" t="s">
        <v>511</v>
      </c>
      <c r="F21" t="s">
        <v>512</v>
      </c>
      <c r="G21" t="s">
        <v>512</v>
      </c>
      <c r="H21" t="str" cm="1">
        <f t="array" ref="H21">_xlfn.LET(
_xlpm.raw,TRIM(IF(G21&lt;&gt;"",G21,F21)),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9489 E. Blue Denim Dr.</v>
      </c>
      <c r="I21" t="str" cm="1">
        <f t="array" ref="I21">_xlfn.LET(
_xlpm.raw,TRIM(IF(G21&lt;&gt;"",G21,F21)),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21" t="str">
        <f t="shared" si="0"/>
        <v>AZ</v>
      </c>
      <c r="K21" t="str" cm="1">
        <f t="array" ref="K21">_xlfn.LET(
_xlpm.raw,TRIM(IF(G21&lt;&gt;"",G21,F21)),
_xlpm.digits,_xlfn.TEXTJOIN("",TRUE,IFERROR(MID(_xlpm.raw,_xlfn.SEQUENCE(LEN(_xlpm.raw)),1)*1,"")),
RIGHT(_xlpm.digits,5)
)</f>
        <v>85750</v>
      </c>
      <c r="L21" t="s">
        <v>23</v>
      </c>
      <c r="M21" t="s">
        <v>513</v>
      </c>
      <c r="N21" s="1">
        <f t="shared" si="1"/>
        <v>675</v>
      </c>
      <c r="O21" s="1">
        <f t="shared" si="2"/>
        <v>562.5</v>
      </c>
      <c r="P21" s="1">
        <f t="shared" si="3"/>
        <v>487.5</v>
      </c>
      <c r="Q21" s="1">
        <f t="shared" si="4"/>
        <v>468.75</v>
      </c>
      <c r="R21" s="1">
        <f t="shared" si="5"/>
        <v>371.25</v>
      </c>
      <c r="S21" t="s">
        <v>514</v>
      </c>
      <c r="T21">
        <v>13</v>
      </c>
    </row>
    <row r="22" spans="1:20" x14ac:dyDescent="0.25">
      <c r="A22" t="s">
        <v>756</v>
      </c>
      <c r="B22" t="str" cm="1">
        <f t="array" ref="B22">_xlfn.LET(
_xlpm.raw,C22,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5203905028</v>
      </c>
      <c r="C22" t="s">
        <v>757</v>
      </c>
      <c r="D22" t="s">
        <v>758</v>
      </c>
      <c r="E22" t="s">
        <v>759</v>
      </c>
      <c r="F22" t="s">
        <v>760</v>
      </c>
      <c r="G22" t="s">
        <v>760</v>
      </c>
      <c r="H22" t="str" cm="1">
        <f t="array" ref="H22">_xlfn.LET(
_xlpm.raw,TRIM(IF(G22&lt;&gt;"",G22,F22)),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2500 E. Forgeus Pl.</v>
      </c>
      <c r="I22" t="str" cm="1">
        <f t="array" ref="I22">_xlfn.LET(
_xlpm.raw,TRIM(IF(G22&lt;&gt;"",G22,F22)),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22" t="str">
        <f t="shared" si="0"/>
        <v>AZ</v>
      </c>
      <c r="K22" t="str" cm="1">
        <f t="array" ref="K22">_xlfn.LET(
_xlpm.raw,TRIM(IF(G22&lt;&gt;"",G22,F22)),
_xlpm.digits,_xlfn.TEXTJOIN("",TRUE,IFERROR(MID(_xlpm.raw,_xlfn.SEQUENCE(LEN(_xlpm.raw)),1)*1,"")),
RIGHT(_xlpm.digits,5)
)</f>
        <v>85716</v>
      </c>
      <c r="L22" t="s">
        <v>761</v>
      </c>
      <c r="M22" t="s">
        <v>491</v>
      </c>
      <c r="N22" s="1">
        <f t="shared" si="1"/>
        <v>324</v>
      </c>
      <c r="O22" s="1">
        <f t="shared" si="2"/>
        <v>270</v>
      </c>
      <c r="P22" s="1">
        <f t="shared" si="3"/>
        <v>234</v>
      </c>
      <c r="Q22" s="1">
        <f t="shared" si="4"/>
        <v>225</v>
      </c>
      <c r="R22" s="1">
        <f t="shared" si="5"/>
        <v>178.2</v>
      </c>
      <c r="S22" t="s">
        <v>762</v>
      </c>
      <c r="T22">
        <v>13</v>
      </c>
    </row>
    <row r="23" spans="1:20" x14ac:dyDescent="0.25">
      <c r="A23" t="s">
        <v>18</v>
      </c>
      <c r="B23" t="str" cm="1">
        <f t="array" ref="B23">_xlfn.LET(
_xlpm.raw,C23,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5207807637</v>
      </c>
      <c r="C23" t="s">
        <v>19</v>
      </c>
      <c r="D23" t="s">
        <v>20</v>
      </c>
      <c r="E23" t="s">
        <v>21</v>
      </c>
      <c r="F23" t="s">
        <v>22</v>
      </c>
      <c r="H23" t="str" cm="1">
        <f t="array" ref="H23">_xlfn.LET(
_xlpm.raw,TRIM(IF(G23&lt;&gt;"",G23,F23)),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11693 N. Peaceful Night Rd.</v>
      </c>
      <c r="I23" t="str" cm="1">
        <f t="array" ref="I23">_xlfn.LET(
_xlpm.raw,TRIM(IF(G23&lt;&gt;"",G23,F23)),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Oro Valley</v>
      </c>
      <c r="J23" t="str">
        <f t="shared" si="0"/>
        <v>AZ</v>
      </c>
      <c r="K23" t="str" cm="1">
        <f t="array" ref="K23">_xlfn.LET(
_xlpm.raw,TRIM(IF(G23&lt;&gt;"",G23,F23)),
_xlpm.digits,_xlfn.TEXTJOIN("",TRUE,IFERROR(MID(_xlpm.raw,_xlfn.SEQUENCE(LEN(_xlpm.raw)),1)*1,"")),
RIGHT(_xlpm.digits,5)
)</f>
        <v>85737</v>
      </c>
      <c r="L23" t="s">
        <v>23</v>
      </c>
      <c r="M23" t="s">
        <v>24</v>
      </c>
      <c r="N23" s="1">
        <f t="shared" si="1"/>
        <v>1602</v>
      </c>
      <c r="O23" s="1">
        <f t="shared" si="2"/>
        <v>1335</v>
      </c>
      <c r="P23" s="1">
        <f t="shared" si="3"/>
        <v>1157</v>
      </c>
      <c r="Q23" s="1">
        <f t="shared" si="4"/>
        <v>1112.5</v>
      </c>
      <c r="R23" s="1">
        <f t="shared" si="5"/>
        <v>881.1</v>
      </c>
      <c r="S23" t="s">
        <v>25</v>
      </c>
      <c r="T23">
        <v>12</v>
      </c>
    </row>
    <row r="24" spans="1:20" x14ac:dyDescent="0.25">
      <c r="A24" t="s">
        <v>26</v>
      </c>
      <c r="B24" t="str" cm="1">
        <f t="array" ref="B24">_xlfn.LET(
_xlpm.raw,C24,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5207600807</v>
      </c>
      <c r="C24" t="s">
        <v>27</v>
      </c>
      <c r="D24" t="s">
        <v>28</v>
      </c>
      <c r="E24" t="s">
        <v>29</v>
      </c>
      <c r="F24" t="s">
        <v>30</v>
      </c>
      <c r="G24" t="s">
        <v>30</v>
      </c>
      <c r="H24" t="str" cm="1">
        <f t="array" ref="H24">_xlfn.LET(
_xlpm.raw,TRIM(IF(G24&lt;&gt;"",G24,F24)),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12050 E. Snyder</v>
      </c>
      <c r="I24" t="str" cm="1">
        <f t="array" ref="I24">_xlfn.LET(
_xlpm.raw,TRIM(IF(G24&lt;&gt;"",G24,F24)),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24" t="str">
        <f t="shared" si="0"/>
        <v>AZ</v>
      </c>
      <c r="K24" t="str" cm="1">
        <f t="array" ref="K24">_xlfn.LET(
_xlpm.raw,TRIM(IF(G24&lt;&gt;"",G24,F24)),
_xlpm.digits,_xlfn.TEXTJOIN("",TRUE,IFERROR(MID(_xlpm.raw,_xlfn.SEQUENCE(LEN(_xlpm.raw)),1)*1,"")),
RIGHT(_xlpm.digits,5)
)</f>
        <v>85749</v>
      </c>
      <c r="L24" t="s">
        <v>31</v>
      </c>
      <c r="M24" t="s">
        <v>32</v>
      </c>
      <c r="N24" s="1">
        <f t="shared" si="1"/>
        <v>1512</v>
      </c>
      <c r="O24" s="1">
        <f t="shared" si="2"/>
        <v>1260</v>
      </c>
      <c r="P24" s="1">
        <f t="shared" si="3"/>
        <v>1092</v>
      </c>
      <c r="Q24" s="1">
        <f t="shared" si="4"/>
        <v>1050</v>
      </c>
      <c r="R24" s="1">
        <f t="shared" si="5"/>
        <v>831.6</v>
      </c>
      <c r="S24" t="s">
        <v>33</v>
      </c>
      <c r="T24">
        <v>12</v>
      </c>
    </row>
    <row r="25" spans="1:20" x14ac:dyDescent="0.25">
      <c r="A25" t="s">
        <v>34</v>
      </c>
      <c r="B25">
        <v>6029953591</v>
      </c>
      <c r="C25" t="s">
        <v>35</v>
      </c>
      <c r="D25" t="s">
        <v>36</v>
      </c>
      <c r="F25" t="s">
        <v>37</v>
      </c>
      <c r="H25" t="str" cm="1">
        <f t="array" ref="H25">_xlfn.LET(
_xlpm.raw,TRIM(IF(G25&lt;&gt;"",G25,F25)),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925 E. Fort Lowell Rd.</v>
      </c>
      <c r="I25" t="str" cm="1">
        <f t="array" ref="I25">_xlfn.LET(
_xlpm.raw,TRIM(IF(G25&lt;&gt;"",G25,F25)),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25" t="str">
        <f t="shared" si="0"/>
        <v>AZ</v>
      </c>
      <c r="K25" t="str" cm="1">
        <f t="array" ref="K25">_xlfn.LET(
_xlpm.raw,TRIM(IF(G25&lt;&gt;"",G25,F25)),
_xlpm.digits,_xlfn.TEXTJOIN("",TRUE,IFERROR(MID(_xlpm.raw,_xlfn.SEQUENCE(LEN(_xlpm.raw)),1)*1,"")),
RIGHT(_xlpm.digits,5)
)</f>
        <v>85719</v>
      </c>
      <c r="L25" t="s">
        <v>38</v>
      </c>
      <c r="M25" t="s">
        <v>39</v>
      </c>
      <c r="N25" s="1">
        <f t="shared" si="1"/>
        <v>999</v>
      </c>
      <c r="O25" s="1">
        <f t="shared" si="2"/>
        <v>832.5</v>
      </c>
      <c r="P25" s="1">
        <f t="shared" si="3"/>
        <v>721.5</v>
      </c>
      <c r="Q25" s="1">
        <f t="shared" si="4"/>
        <v>693.75</v>
      </c>
      <c r="R25" s="1">
        <f t="shared" si="5"/>
        <v>549.45000000000005</v>
      </c>
      <c r="S25" t="s">
        <v>40</v>
      </c>
      <c r="T25">
        <v>12</v>
      </c>
    </row>
    <row r="26" spans="1:20" x14ac:dyDescent="0.25">
      <c r="A26" t="s">
        <v>49</v>
      </c>
      <c r="B26" t="str" cm="1">
        <f t="array" ref="B26">_xlfn.LET(
_xlpm.raw,C26,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5207952759</v>
      </c>
      <c r="C26" t="s">
        <v>50</v>
      </c>
      <c r="E26" t="s">
        <v>51</v>
      </c>
      <c r="F26" t="s">
        <v>52</v>
      </c>
      <c r="G26" t="s">
        <v>52</v>
      </c>
      <c r="H26" t="str" cm="1">
        <f t="array" ref="H26">_xlfn.LET(
_xlpm.raw,TRIM(IF(G26&lt;&gt;"",G26,F26)),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3935 N. Country Club Rd. #40</v>
      </c>
      <c r="I26" t="str" cm="1">
        <f t="array" ref="I26">_xlfn.LET(
_xlpm.raw,TRIM(IF(G26&lt;&gt;"",G26,F26)),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26" t="str">
        <f t="shared" si="0"/>
        <v>AZ</v>
      </c>
      <c r="K26" t="str" cm="1">
        <f t="array" ref="K26">_xlfn.LET(
_xlpm.raw,TRIM(IF(G26&lt;&gt;"",G26,F26)),
_xlpm.digits,_xlfn.TEXTJOIN("",TRUE,IFERROR(MID(_xlpm.raw,_xlfn.SEQUENCE(LEN(_xlpm.raw)),1)*1,"")),
RIGHT(_xlpm.digits,5)
)</f>
        <v>85716</v>
      </c>
      <c r="L26" t="s">
        <v>53</v>
      </c>
      <c r="M26" t="s">
        <v>54</v>
      </c>
      <c r="N26" s="1">
        <f t="shared" si="1"/>
        <v>2403</v>
      </c>
      <c r="O26" s="1">
        <f t="shared" si="2"/>
        <v>2002.5</v>
      </c>
      <c r="P26" s="1">
        <f t="shared" si="3"/>
        <v>1735.5</v>
      </c>
      <c r="Q26" s="1">
        <f t="shared" si="4"/>
        <v>1668.75</v>
      </c>
      <c r="R26" s="1">
        <f t="shared" si="5"/>
        <v>1321.65</v>
      </c>
      <c r="S26" t="s">
        <v>55</v>
      </c>
      <c r="T26">
        <v>12</v>
      </c>
    </row>
    <row r="27" spans="1:20" x14ac:dyDescent="0.25">
      <c r="A27" t="s">
        <v>112</v>
      </c>
      <c r="B27">
        <v>5205445786</v>
      </c>
      <c r="C27" t="s">
        <v>113</v>
      </c>
      <c r="D27" t="s">
        <v>114</v>
      </c>
      <c r="E27" t="s">
        <v>115</v>
      </c>
      <c r="F27" t="s">
        <v>116</v>
      </c>
      <c r="G27" t="s">
        <v>116</v>
      </c>
      <c r="H27" t="str" cm="1">
        <f t="array" ref="H27">_xlfn.LET(
_xlpm.raw,TRIM(IF(G27&lt;&gt;"",G27,F27)),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2422 W. Hidden View Place</v>
      </c>
      <c r="I27" t="str" cm="1">
        <f t="array" ref="I27">_xlfn.LET(
_xlpm.raw,TRIM(IF(G27&lt;&gt;"",G27,F27)),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27" t="str">
        <f t="shared" si="0"/>
        <v>AZ</v>
      </c>
      <c r="K27" t="str" cm="1">
        <f t="array" ref="K27">_xlfn.LET(
_xlpm.raw,TRIM(IF(G27&lt;&gt;"",G27,F27)),
_xlpm.digits,_xlfn.TEXTJOIN("",TRUE,IFERROR(MID(_xlpm.raw,_xlfn.SEQUENCE(LEN(_xlpm.raw)),1)*1,"")),
RIGHT(_xlpm.digits,5)
)</f>
        <v>85742</v>
      </c>
      <c r="L27" t="s">
        <v>117</v>
      </c>
      <c r="M27" t="s">
        <v>118</v>
      </c>
      <c r="N27" s="1">
        <f t="shared" si="1"/>
        <v>1980</v>
      </c>
      <c r="O27" s="1">
        <f t="shared" si="2"/>
        <v>1650</v>
      </c>
      <c r="P27" s="1">
        <f t="shared" si="3"/>
        <v>1430</v>
      </c>
      <c r="Q27" s="1">
        <f t="shared" si="4"/>
        <v>1375</v>
      </c>
      <c r="R27" s="1">
        <f t="shared" si="5"/>
        <v>1089</v>
      </c>
      <c r="S27" t="s">
        <v>119</v>
      </c>
      <c r="T27">
        <v>12</v>
      </c>
    </row>
    <row r="28" spans="1:20" x14ac:dyDescent="0.25">
      <c r="A28" t="s">
        <v>120</v>
      </c>
      <c r="B28" t="str" cm="1">
        <f t="array" ref="B28">_xlfn.LET(
_xlpm.raw,C28,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5202962063</v>
      </c>
      <c r="C28" t="s">
        <v>121</v>
      </c>
      <c r="D28" t="s">
        <v>122</v>
      </c>
      <c r="E28" t="s">
        <v>123</v>
      </c>
      <c r="F28" t="s">
        <v>124</v>
      </c>
      <c r="G28" t="s">
        <v>124</v>
      </c>
      <c r="H28" t="str" cm="1">
        <f t="array" ref="H28">_xlfn.LET(
_xlpm.raw,TRIM(IF(G28&lt;&gt;"",G28,F28)),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8761 E. Baker St.</v>
      </c>
      <c r="I28" t="str" cm="1">
        <f t="array" ref="I28">_xlfn.LET(
_xlpm.raw,TRIM(IF(G28&lt;&gt;"",G28,F28)),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28" t="str">
        <f t="shared" si="0"/>
        <v>AZ</v>
      </c>
      <c r="K28" t="str" cm="1">
        <f t="array" ref="K28">_xlfn.LET(
_xlpm.raw,TRIM(IF(G28&lt;&gt;"",G28,F28)),
_xlpm.digits,_xlfn.TEXTJOIN("",TRUE,IFERROR(MID(_xlpm.raw,_xlfn.SEQUENCE(LEN(_xlpm.raw)),1)*1,"")),
RIGHT(_xlpm.digits,5)
)</f>
        <v>85710</v>
      </c>
      <c r="L28" t="s">
        <v>125</v>
      </c>
      <c r="M28" t="s">
        <v>126</v>
      </c>
      <c r="N28" s="1">
        <f t="shared" si="1"/>
        <v>1080</v>
      </c>
      <c r="O28" s="1">
        <f t="shared" si="2"/>
        <v>900</v>
      </c>
      <c r="P28" s="1">
        <f t="shared" si="3"/>
        <v>780</v>
      </c>
      <c r="Q28" s="1">
        <f t="shared" si="4"/>
        <v>750</v>
      </c>
      <c r="R28" s="1">
        <f t="shared" si="5"/>
        <v>594</v>
      </c>
      <c r="S28" t="s">
        <v>127</v>
      </c>
      <c r="T28">
        <v>12</v>
      </c>
    </row>
    <row r="29" spans="1:20" x14ac:dyDescent="0.25">
      <c r="A29" t="s">
        <v>206</v>
      </c>
      <c r="B29" t="str" cm="1">
        <f t="array" ref="B29">_xlfn.LET(
_xlpm.raw,C29,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5202968535</v>
      </c>
      <c r="C29" t="s">
        <v>207</v>
      </c>
      <c r="D29" t="s">
        <v>208</v>
      </c>
      <c r="E29" t="s">
        <v>209</v>
      </c>
      <c r="F29" t="s">
        <v>210</v>
      </c>
      <c r="G29" t="s">
        <v>210</v>
      </c>
      <c r="H29" t="str" cm="1">
        <f t="array" ref="H29">_xlfn.LET(
_xlpm.raw,TRIM(IF(G29&lt;&gt;"",G29,F29)),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7150 E. 22 St</v>
      </c>
      <c r="I29" t="str" cm="1">
        <f t="array" ref="I29">_xlfn.LET(
_xlpm.raw,TRIM(IF(G29&lt;&gt;"",G29,F29)),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29" t="str">
        <f t="shared" si="0"/>
        <v>AZ</v>
      </c>
      <c r="K29" t="str" cm="1">
        <f t="array" ref="K29">_xlfn.LET(
_xlpm.raw,TRIM(IF(G29&lt;&gt;"",G29,F29)),
_xlpm.digits,_xlfn.TEXTJOIN("",TRUE,IFERROR(MID(_xlpm.raw,_xlfn.SEQUENCE(LEN(_xlpm.raw)),1)*1,"")),
RIGHT(_xlpm.digits,5)
)</f>
        <v>85710</v>
      </c>
      <c r="L29" t="s">
        <v>87</v>
      </c>
      <c r="M29" t="s">
        <v>211</v>
      </c>
      <c r="N29" s="1">
        <f t="shared" si="1"/>
        <v>1107</v>
      </c>
      <c r="O29" s="1">
        <f t="shared" si="2"/>
        <v>922.5</v>
      </c>
      <c r="P29" s="1">
        <f t="shared" si="3"/>
        <v>799.5</v>
      </c>
      <c r="Q29" s="1">
        <f t="shared" si="4"/>
        <v>768.75</v>
      </c>
      <c r="R29" s="1">
        <f t="shared" si="5"/>
        <v>608.85</v>
      </c>
      <c r="S29" t="s">
        <v>212</v>
      </c>
      <c r="T29">
        <v>12</v>
      </c>
    </row>
    <row r="30" spans="1:20" x14ac:dyDescent="0.25">
      <c r="A30" t="s">
        <v>261</v>
      </c>
      <c r="B30" t="str" cm="1">
        <f t="array" ref="B30">_xlfn.LET(
_xlpm.raw,C30,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5203492809</v>
      </c>
      <c r="C30" t="s">
        <v>262</v>
      </c>
      <c r="D30" t="s">
        <v>256</v>
      </c>
      <c r="E30" t="s">
        <v>263</v>
      </c>
      <c r="F30" t="s">
        <v>264</v>
      </c>
      <c r="G30" t="s">
        <v>264</v>
      </c>
      <c r="H30" t="str" cm="1">
        <f t="array" ref="H30">_xlfn.LET(
_xlpm.raw,TRIM(IF(G30&lt;&gt;"",G30,F30)),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4630 N. Camino Gacela</v>
      </c>
      <c r="I30" t="str" cm="1">
        <f t="array" ref="I30">_xlfn.LET(
_xlpm.raw,TRIM(IF(G30&lt;&gt;"",G30,F30)),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30" t="str">
        <f t="shared" si="0"/>
        <v>AZ</v>
      </c>
      <c r="K30" t="str" cm="1">
        <f t="array" ref="K30">_xlfn.LET(
_xlpm.raw,TRIM(IF(G30&lt;&gt;"",G30,F30)),
_xlpm.digits,_xlfn.TEXTJOIN("",TRUE,IFERROR(MID(_xlpm.raw,_xlfn.SEQUENCE(LEN(_xlpm.raw)),1)*1,"")),
RIGHT(_xlpm.digits,5)
)</f>
        <v>85718</v>
      </c>
      <c r="L30" t="s">
        <v>265</v>
      </c>
      <c r="M30" t="s">
        <v>266</v>
      </c>
      <c r="N30" s="1">
        <f t="shared" si="1"/>
        <v>1053</v>
      </c>
      <c r="O30" s="1">
        <f t="shared" si="2"/>
        <v>877.5</v>
      </c>
      <c r="P30" s="1">
        <f t="shared" si="3"/>
        <v>760.5</v>
      </c>
      <c r="Q30" s="1">
        <f t="shared" si="4"/>
        <v>731.25</v>
      </c>
      <c r="R30" s="1">
        <f t="shared" si="5"/>
        <v>579.15</v>
      </c>
      <c r="S30" t="s">
        <v>267</v>
      </c>
      <c r="T30">
        <v>12</v>
      </c>
    </row>
    <row r="31" spans="1:20" x14ac:dyDescent="0.25">
      <c r="A31" t="s">
        <v>276</v>
      </c>
      <c r="B31" t="str" cm="1">
        <f t="array" ref="B31">_xlfn.LET(
_xlpm.raw,C31,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5204251303</v>
      </c>
      <c r="C31" t="s">
        <v>277</v>
      </c>
      <c r="D31" t="s">
        <v>278</v>
      </c>
      <c r="E31" t="s">
        <v>279</v>
      </c>
      <c r="F31" t="s">
        <v>280</v>
      </c>
      <c r="G31" t="s">
        <v>280</v>
      </c>
      <c r="H31" t="str" cm="1">
        <f t="array" ref="H31">_xlfn.LET(
_xlpm.raw,TRIM(IF(G31&lt;&gt;"",G31,F31)),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475 S. Lower Chord Rd.</v>
      </c>
      <c r="I31" t="str" cm="1">
        <f t="array" ref="I31">_xlfn.LET(
_xlpm.raw,TRIM(IF(G31&lt;&gt;"",G31,F31)),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Vail</v>
      </c>
      <c r="J31" t="str">
        <f t="shared" si="0"/>
        <v>AZ</v>
      </c>
      <c r="K31" t="str" cm="1">
        <f t="array" ref="K31">_xlfn.LET(
_xlpm.raw,TRIM(IF(G31&lt;&gt;"",G31,F31)),
_xlpm.digits,_xlfn.TEXTJOIN("",TRUE,IFERROR(MID(_xlpm.raw,_xlfn.SEQUENCE(LEN(_xlpm.raw)),1)*1,"")),
RIGHT(_xlpm.digits,5)
)</f>
        <v>85641</v>
      </c>
      <c r="L31" t="s">
        <v>281</v>
      </c>
      <c r="M31" t="s">
        <v>282</v>
      </c>
      <c r="N31" s="1">
        <f t="shared" si="1"/>
        <v>2214</v>
      </c>
      <c r="O31" s="1">
        <f t="shared" si="2"/>
        <v>1845</v>
      </c>
      <c r="P31" s="1">
        <f t="shared" si="3"/>
        <v>1599</v>
      </c>
      <c r="Q31" s="1">
        <f t="shared" si="4"/>
        <v>1537.5</v>
      </c>
      <c r="R31" s="1">
        <f t="shared" si="5"/>
        <v>1217.7</v>
      </c>
      <c r="S31" t="s">
        <v>283</v>
      </c>
      <c r="T31">
        <v>12</v>
      </c>
    </row>
    <row r="32" spans="1:20" x14ac:dyDescent="0.25">
      <c r="A32" t="s">
        <v>330</v>
      </c>
      <c r="B32" t="str" cm="1">
        <f t="array" ref="B32">_xlfn.LET(
_xlpm.raw,C32,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5203738106</v>
      </c>
      <c r="C32" t="s">
        <v>331</v>
      </c>
      <c r="D32" t="s">
        <v>332</v>
      </c>
      <c r="E32" t="s">
        <v>333</v>
      </c>
      <c r="F32" t="s">
        <v>334</v>
      </c>
      <c r="G32" t="s">
        <v>334</v>
      </c>
      <c r="H32" t="str" cm="1">
        <f t="array" ref="H32">_xlfn.LET(
_xlpm.raw,TRIM(IF(G32&lt;&gt;"",G32,F32)),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4102 S. Snapdragon St.</v>
      </c>
      <c r="I32" t="str" cm="1">
        <f t="array" ref="I32">_xlfn.LET(
_xlpm.raw,TRIM(IF(G32&lt;&gt;"",G32,F32)),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32" t="str">
        <f t="shared" si="0"/>
        <v>AZ</v>
      </c>
      <c r="K32" t="str" cm="1">
        <f t="array" ref="K32">_xlfn.LET(
_xlpm.raw,TRIM(IF(G32&lt;&gt;"",G32,F32)),
_xlpm.digits,_xlfn.TEXTJOIN("",TRUE,IFERROR(MID(_xlpm.raw,_xlfn.SEQUENCE(LEN(_xlpm.raw)),1)*1,"")),
RIGHT(_xlpm.digits,5)
)</f>
        <v>85730</v>
      </c>
      <c r="L32" t="s">
        <v>335</v>
      </c>
      <c r="M32" t="s">
        <v>336</v>
      </c>
      <c r="N32" s="1">
        <f t="shared" si="1"/>
        <v>1431</v>
      </c>
      <c r="O32" s="1">
        <f t="shared" si="2"/>
        <v>1192.5</v>
      </c>
      <c r="P32" s="1">
        <f t="shared" si="3"/>
        <v>1033.5</v>
      </c>
      <c r="Q32" s="1">
        <f t="shared" si="4"/>
        <v>993.75</v>
      </c>
      <c r="R32" s="1">
        <f t="shared" si="5"/>
        <v>787.05</v>
      </c>
      <c r="S32" t="s">
        <v>337</v>
      </c>
      <c r="T32">
        <v>12</v>
      </c>
    </row>
    <row r="33" spans="1:20" x14ac:dyDescent="0.25">
      <c r="A33" t="s">
        <v>352</v>
      </c>
      <c r="B33" t="str" cm="1">
        <f t="array" ref="B33">_xlfn.LET(
_xlpm.raw,C33,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5207916119</v>
      </c>
      <c r="C33" t="s">
        <v>353</v>
      </c>
      <c r="D33" t="s">
        <v>354</v>
      </c>
      <c r="F33" t="s">
        <v>355</v>
      </c>
      <c r="G33" t="s">
        <v>355</v>
      </c>
      <c r="H33" t="str" cm="1">
        <f t="array" ref="H33">_xlfn.LET(
_xlpm.raw,TRIM(IF(G33&lt;&gt;"",G33,F33)),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Starr Pass Resort &amp; Spa
3800 W. Starr Pass Blvd.</v>
      </c>
      <c r="I33" t="str" cm="1">
        <f t="array" ref="I33">_xlfn.LET(
_xlpm.raw,TRIM(IF(G33&lt;&gt;"",G33,F33)),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33" t="str">
        <f t="shared" si="0"/>
        <v>AZ</v>
      </c>
      <c r="K33" t="str" cm="1">
        <f t="array" ref="K33">_xlfn.LET(
_xlpm.raw,TRIM(IF(G33&lt;&gt;"",G33,F33)),
_xlpm.digits,_xlfn.TEXTJOIN("",TRUE,IFERROR(MID(_xlpm.raw,_xlfn.SEQUENCE(LEN(_xlpm.raw)),1)*1,"")),
RIGHT(_xlpm.digits,5)
)</f>
        <v>85745</v>
      </c>
      <c r="L33" t="s">
        <v>356</v>
      </c>
      <c r="N33" s="1">
        <f t="shared" si="1"/>
        <v>0</v>
      </c>
      <c r="O33" s="1">
        <f t="shared" si="2"/>
        <v>0</v>
      </c>
      <c r="P33" s="1">
        <f t="shared" si="3"/>
        <v>0</v>
      </c>
      <c r="Q33" s="1">
        <f t="shared" si="4"/>
        <v>0</v>
      </c>
      <c r="R33" s="1">
        <f t="shared" si="5"/>
        <v>0</v>
      </c>
      <c r="S33" t="s">
        <v>357</v>
      </c>
      <c r="T33">
        <v>12</v>
      </c>
    </row>
    <row r="34" spans="1:20" x14ac:dyDescent="0.25">
      <c r="A34" t="s">
        <v>358</v>
      </c>
      <c r="B34" t="str" cm="1">
        <f t="array" ref="B34">_xlfn.LET(
_xlpm.raw,C34,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5204907680</v>
      </c>
      <c r="C34" t="s">
        <v>359</v>
      </c>
      <c r="E34" t="s">
        <v>360</v>
      </c>
      <c r="F34" t="s">
        <v>361</v>
      </c>
      <c r="H34" t="str" cm="1">
        <f t="array" ref="H34">_xlfn.LET(
_xlpm.raw,TRIM(IF(G34&lt;&gt;"",G34,F34)),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7366 E. Placita Del Animo</v>
      </c>
      <c r="I34" t="str" cm="1">
        <f t="array" ref="I34">_xlfn.LET(
_xlpm.raw,TRIM(IF(G34&lt;&gt;"",G34,F34)),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34" t="str">
        <f t="shared" si="0"/>
        <v>AZ</v>
      </c>
      <c r="K34" t="str" cm="1">
        <f t="array" ref="K34">_xlfn.LET(
_xlpm.raw,TRIM(IF(G34&lt;&gt;"",G34,F34)),
_xlpm.digits,_xlfn.TEXTJOIN("",TRUE,IFERROR(MID(_xlpm.raw,_xlfn.SEQUENCE(LEN(_xlpm.raw)),1)*1,"")),
RIGHT(_xlpm.digits,5)
)</f>
        <v>85715</v>
      </c>
      <c r="L34" t="s">
        <v>362</v>
      </c>
      <c r="M34" t="s">
        <v>363</v>
      </c>
      <c r="N34" s="1">
        <f t="shared" si="1"/>
        <v>1458</v>
      </c>
      <c r="O34" s="1">
        <f t="shared" si="2"/>
        <v>1215</v>
      </c>
      <c r="P34" s="1">
        <f t="shared" si="3"/>
        <v>1053</v>
      </c>
      <c r="Q34" s="1">
        <f t="shared" si="4"/>
        <v>1012.5</v>
      </c>
      <c r="R34" s="1">
        <f t="shared" si="5"/>
        <v>801.9</v>
      </c>
      <c r="S34" t="s">
        <v>364</v>
      </c>
      <c r="T34">
        <v>12</v>
      </c>
    </row>
    <row r="35" spans="1:20" x14ac:dyDescent="0.25">
      <c r="A35" t="s">
        <v>404</v>
      </c>
      <c r="B35" t="str" cm="1">
        <f t="array" ref="B35">_xlfn.LET(
_xlpm.raw,C35,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5203072285</v>
      </c>
      <c r="C35" t="s">
        <v>405</v>
      </c>
      <c r="D35" t="s">
        <v>406</v>
      </c>
      <c r="E35" t="s">
        <v>407</v>
      </c>
      <c r="F35" t="s">
        <v>408</v>
      </c>
      <c r="G35" t="s">
        <v>408</v>
      </c>
      <c r="H35" t="str" cm="1">
        <f t="array" ref="H35">_xlfn.LET(
_xlpm.raw,TRIM(IF(G35&lt;&gt;"",G35,F35)),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2145 N. Split Rock Pl.</v>
      </c>
      <c r="I35" t="str" cm="1">
        <f t="array" ref="I35">_xlfn.LET(
_xlpm.raw,TRIM(IF(G35&lt;&gt;"",G35,F35)),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35" t="str">
        <f t="shared" si="0"/>
        <v>AZ</v>
      </c>
      <c r="K35" t="str" cm="1">
        <f t="array" ref="K35">_xlfn.LET(
_xlpm.raw,TRIM(IF(G35&lt;&gt;"",G35,F35)),
_xlpm.digits,_xlfn.TEXTJOIN("",TRUE,IFERROR(MID(_xlpm.raw,_xlfn.SEQUENCE(LEN(_xlpm.raw)),1)*1,"")),
RIGHT(_xlpm.digits,5)
)</f>
        <v>85749</v>
      </c>
      <c r="L35" t="s">
        <v>409</v>
      </c>
      <c r="M35" t="s">
        <v>410</v>
      </c>
      <c r="N35" s="1">
        <f t="shared" si="1"/>
        <v>1809</v>
      </c>
      <c r="O35" s="1">
        <f t="shared" si="2"/>
        <v>1507.5</v>
      </c>
      <c r="P35" s="1">
        <f t="shared" si="3"/>
        <v>1306.5</v>
      </c>
      <c r="Q35" s="1">
        <f t="shared" si="4"/>
        <v>1256.25</v>
      </c>
      <c r="R35" s="1">
        <f t="shared" si="5"/>
        <v>994.95</v>
      </c>
      <c r="S35" t="s">
        <v>411</v>
      </c>
      <c r="T35">
        <v>12</v>
      </c>
    </row>
    <row r="36" spans="1:20" x14ac:dyDescent="0.25">
      <c r="A36" t="s">
        <v>449</v>
      </c>
      <c r="B36" t="str" cm="1">
        <f t="array" ref="B36">_xlfn.LET(
_xlpm.raw,C36,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5204445873</v>
      </c>
      <c r="C36" t="s">
        <v>450</v>
      </c>
      <c r="D36" t="s">
        <v>451</v>
      </c>
      <c r="E36" t="s">
        <v>452</v>
      </c>
      <c r="F36" t="s">
        <v>453</v>
      </c>
      <c r="G36" t="s">
        <v>453</v>
      </c>
      <c r="H36" t="str" cm="1">
        <f t="array" ref="H36">_xlfn.LET(
_xlpm.raw,TRIM(IF(G36&lt;&gt;"",G36,F36)),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12893 N. Desert Olive Dr.</v>
      </c>
      <c r="I36" t="str" cm="1">
        <f t="array" ref="I36">_xlfn.LET(
_xlpm.raw,TRIM(IF(G36&lt;&gt;"",G36,F36)),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Oro Valley</v>
      </c>
      <c r="J36" t="str">
        <f t="shared" si="0"/>
        <v>AZ</v>
      </c>
      <c r="K36" t="str" cm="1">
        <f t="array" ref="K36">_xlfn.LET(
_xlpm.raw,TRIM(IF(G36&lt;&gt;"",G36,F36)),
_xlpm.digits,_xlfn.TEXTJOIN("",TRUE,IFERROR(MID(_xlpm.raw,_xlfn.SEQUENCE(LEN(_xlpm.raw)),1)*1,"")),
RIGHT(_xlpm.digits,5)
)</f>
        <v>85755</v>
      </c>
      <c r="L36" t="s">
        <v>454</v>
      </c>
      <c r="M36" t="s">
        <v>455</v>
      </c>
      <c r="N36" s="1">
        <f t="shared" si="1"/>
        <v>1350</v>
      </c>
      <c r="O36" s="1">
        <f t="shared" si="2"/>
        <v>1125</v>
      </c>
      <c r="P36" s="1">
        <f t="shared" si="3"/>
        <v>975</v>
      </c>
      <c r="Q36" s="1">
        <f t="shared" si="4"/>
        <v>937.5</v>
      </c>
      <c r="R36" s="1">
        <f t="shared" si="5"/>
        <v>742.5</v>
      </c>
      <c r="S36" t="s">
        <v>456</v>
      </c>
      <c r="T36">
        <v>12</v>
      </c>
    </row>
    <row r="37" spans="1:20" x14ac:dyDescent="0.25">
      <c r="A37" t="s">
        <v>464</v>
      </c>
      <c r="B37" t="str" cm="1">
        <f t="array" ref="B37">_xlfn.LET(
_xlpm.raw,C37,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3167060856</v>
      </c>
      <c r="C37" t="s">
        <v>465</v>
      </c>
      <c r="D37" t="s">
        <v>466</v>
      </c>
      <c r="E37" t="s">
        <v>467</v>
      </c>
      <c r="F37" t="s">
        <v>468</v>
      </c>
      <c r="H37" t="str" cm="1">
        <f t="array" ref="H37">_xlfn.LET(
_xlpm.raw,TRIM(IF(G37&lt;&gt;"",G37,F37)),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6519 W. Wolf Valley Way</v>
      </c>
      <c r="I37" t="str" cm="1">
        <f t="array" ref="I37">_xlfn.LET(
_xlpm.raw,TRIM(IF(G37&lt;&gt;"",G37,F37)),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37" t="str">
        <f t="shared" si="0"/>
        <v>AZ</v>
      </c>
      <c r="K37" t="str" cm="1">
        <f t="array" ref="K37">_xlfn.LET(
_xlpm.raw,TRIM(IF(G37&lt;&gt;"",G37,F37)),
_xlpm.digits,_xlfn.TEXTJOIN("",TRUE,IFERROR(MID(_xlpm.raw,_xlfn.SEQUENCE(LEN(_xlpm.raw)),1)*1,"")),
RIGHT(_xlpm.digits,5)
)</f>
        <v>85757</v>
      </c>
      <c r="L37" t="s">
        <v>469</v>
      </c>
      <c r="M37" t="s">
        <v>470</v>
      </c>
      <c r="N37" s="1">
        <f t="shared" si="1"/>
        <v>2619</v>
      </c>
      <c r="O37" s="1">
        <f t="shared" si="2"/>
        <v>2182.5</v>
      </c>
      <c r="P37" s="1">
        <f t="shared" si="3"/>
        <v>1891.5</v>
      </c>
      <c r="Q37" s="1">
        <f t="shared" si="4"/>
        <v>1818.75</v>
      </c>
      <c r="R37" s="1">
        <f t="shared" si="5"/>
        <v>1440.45</v>
      </c>
      <c r="S37" t="s">
        <v>471</v>
      </c>
      <c r="T37">
        <v>12</v>
      </c>
    </row>
    <row r="38" spans="1:20" x14ac:dyDescent="0.25">
      <c r="A38" t="s">
        <v>485</v>
      </c>
      <c r="B38" t="str" cm="1">
        <f t="array" ref="B38">_xlfn.LET(
_xlpm.raw,C38,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5202712878</v>
      </c>
      <c r="C38" t="s">
        <v>486</v>
      </c>
      <c r="D38" t="s">
        <v>487</v>
      </c>
      <c r="E38" t="s">
        <v>488</v>
      </c>
      <c r="F38" t="s">
        <v>489</v>
      </c>
      <c r="H38" t="str" cm="1">
        <f t="array" ref="H38">_xlfn.LET(
_xlpm.raw,TRIM(IF(G38&lt;&gt;"",G38,F38)),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5702 N. Lady Lane</v>
      </c>
      <c r="I38" t="str" cm="1">
        <f t="array" ref="I38">_xlfn.LET(
_xlpm.raw,TRIM(IF(G38&lt;&gt;"",G38,F38)),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38" t="str">
        <f t="shared" si="0"/>
        <v>AZ</v>
      </c>
      <c r="K38" t="str" cm="1">
        <f t="array" ref="K38">_xlfn.LET(
_xlpm.raw,TRIM(IF(G38&lt;&gt;"",G38,F38)),
_xlpm.digits,_xlfn.TEXTJOIN("",TRUE,IFERROR(MID(_xlpm.raw,_xlfn.SEQUENCE(LEN(_xlpm.raw)),1)*1,"")),
RIGHT(_xlpm.digits,5)
)</f>
        <v>85704</v>
      </c>
      <c r="L38" t="s">
        <v>490</v>
      </c>
      <c r="M38" t="s">
        <v>491</v>
      </c>
      <c r="N38" s="1">
        <f t="shared" si="1"/>
        <v>324</v>
      </c>
      <c r="O38" s="1">
        <f t="shared" si="2"/>
        <v>270</v>
      </c>
      <c r="P38" s="1">
        <f t="shared" si="3"/>
        <v>234</v>
      </c>
      <c r="Q38" s="1">
        <f t="shared" si="4"/>
        <v>225</v>
      </c>
      <c r="R38" s="1">
        <f t="shared" si="5"/>
        <v>178.2</v>
      </c>
      <c r="S38" t="s">
        <v>492</v>
      </c>
      <c r="T38">
        <v>12</v>
      </c>
    </row>
    <row r="39" spans="1:20" x14ac:dyDescent="0.25">
      <c r="A39" t="s">
        <v>515</v>
      </c>
      <c r="B39" t="str" cm="1">
        <f t="array" ref="B39">_xlfn.LET(
_xlpm.raw,C39,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3037517971</v>
      </c>
      <c r="C39" t="s">
        <v>516</v>
      </c>
      <c r="D39" t="s">
        <v>517</v>
      </c>
      <c r="E39" t="s">
        <v>518</v>
      </c>
      <c r="F39" t="s">
        <v>519</v>
      </c>
      <c r="G39" t="s">
        <v>519</v>
      </c>
      <c r="H39" t="str" cm="1">
        <f t="array" ref="H39">_xlfn.LET(
_xlpm.raw,TRIM(IF(G39&lt;&gt;"",G39,F39)),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6112 W. Bandelier Ct.</v>
      </c>
      <c r="I39" t="str" cm="1">
        <f t="array" ref="I39">_xlfn.LET(
_xlpm.raw,TRIM(IF(G39&lt;&gt;"",G39,F39)),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39" t="str">
        <f t="shared" si="0"/>
        <v>AZ</v>
      </c>
      <c r="K39" t="str" cm="1">
        <f t="array" ref="K39">_xlfn.LET(
_xlpm.raw,TRIM(IF(G39&lt;&gt;"",G39,F39)),
_xlpm.digits,_xlfn.TEXTJOIN("",TRUE,IFERROR(MID(_xlpm.raw,_xlfn.SEQUENCE(LEN(_xlpm.raw)),1)*1,"")),
RIGHT(_xlpm.digits,5)
)</f>
        <v>85742</v>
      </c>
      <c r="L39" t="s">
        <v>520</v>
      </c>
      <c r="M39" t="s">
        <v>521</v>
      </c>
      <c r="N39" s="1">
        <f t="shared" si="1"/>
        <v>1377</v>
      </c>
      <c r="O39" s="1">
        <f t="shared" si="2"/>
        <v>1147.5</v>
      </c>
      <c r="P39" s="1">
        <f t="shared" si="3"/>
        <v>994.5</v>
      </c>
      <c r="Q39" s="1">
        <f t="shared" si="4"/>
        <v>956.25</v>
      </c>
      <c r="R39" s="1">
        <f t="shared" si="5"/>
        <v>757.35</v>
      </c>
      <c r="S39" t="s">
        <v>522</v>
      </c>
      <c r="T39">
        <v>12</v>
      </c>
    </row>
    <row r="40" spans="1:20" x14ac:dyDescent="0.25">
      <c r="A40" t="s">
        <v>528</v>
      </c>
      <c r="B40" t="str" cm="1">
        <f t="array" ref="B40">_xlfn.LET(
_xlpm.raw,C40,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5208203694</v>
      </c>
      <c r="C40" t="s">
        <v>529</v>
      </c>
      <c r="D40" t="s">
        <v>530</v>
      </c>
      <c r="E40" t="s">
        <v>531</v>
      </c>
      <c r="F40" t="s">
        <v>532</v>
      </c>
      <c r="G40" t="s">
        <v>532</v>
      </c>
      <c r="H40" t="str" cm="1">
        <f t="array" ref="H40">_xlfn.LET(
_xlpm.raw,TRIM(IF(G40&lt;&gt;"",G40,F40)),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12493 N. Summer Wind Dr.</v>
      </c>
      <c r="I40" t="str" cm="1">
        <f t="array" ref="I40">_xlfn.LET(
_xlpm.raw,TRIM(IF(G40&lt;&gt;"",G40,F40)),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Marana</v>
      </c>
      <c r="J40" t="str">
        <f t="shared" si="0"/>
        <v>AZ</v>
      </c>
      <c r="K40" t="str" cm="1">
        <f t="array" ref="K40">_xlfn.LET(
_xlpm.raw,TRIM(IF(G40&lt;&gt;"",G40,F40)),
_xlpm.digits,_xlfn.TEXTJOIN("",TRUE,IFERROR(MID(_xlpm.raw,_xlfn.SEQUENCE(LEN(_xlpm.raw)),1)*1,"")),
RIGHT(_xlpm.digits,5)
)</f>
        <v>85658</v>
      </c>
      <c r="L40" t="s">
        <v>117</v>
      </c>
      <c r="M40" t="s">
        <v>506</v>
      </c>
      <c r="N40" s="1">
        <f t="shared" si="1"/>
        <v>1485</v>
      </c>
      <c r="O40" s="1">
        <f t="shared" si="2"/>
        <v>1237.5</v>
      </c>
      <c r="P40" s="1">
        <f t="shared" si="3"/>
        <v>1072.5</v>
      </c>
      <c r="Q40" s="1">
        <f t="shared" si="4"/>
        <v>1031.25</v>
      </c>
      <c r="R40" s="1">
        <f t="shared" si="5"/>
        <v>816.75</v>
      </c>
      <c r="S40" t="s">
        <v>533</v>
      </c>
      <c r="T40">
        <v>12</v>
      </c>
    </row>
    <row r="41" spans="1:20" x14ac:dyDescent="0.25">
      <c r="A41" t="s">
        <v>534</v>
      </c>
      <c r="B41" t="str" cm="1">
        <f t="array" ref="B41">_xlfn.LET(
_xlpm.raw,C41,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5208202638</v>
      </c>
      <c r="C41" t="s">
        <v>535</v>
      </c>
      <c r="D41" t="s">
        <v>536</v>
      </c>
      <c r="E41" t="s">
        <v>537</v>
      </c>
      <c r="F41" t="s">
        <v>538</v>
      </c>
      <c r="G41" t="s">
        <v>538</v>
      </c>
      <c r="H41" t="str" cm="1">
        <f t="array" ref="H41">_xlfn.LET(
_xlpm.raw,TRIM(IF(G41&lt;&gt;"",G41,F41)),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5065 E. Placita Salud</v>
      </c>
      <c r="I41" t="str" cm="1">
        <f t="array" ref="I41">_xlfn.LET(
_xlpm.raw,TRIM(IF(G41&lt;&gt;"",G41,F41)),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41" t="str">
        <f t="shared" si="0"/>
        <v>AZ</v>
      </c>
      <c r="K41" t="str" cm="1">
        <f t="array" ref="K41">_xlfn.LET(
_xlpm.raw,TRIM(IF(G41&lt;&gt;"",G41,F41)),
_xlpm.digits,_xlfn.TEXTJOIN("",TRUE,IFERROR(MID(_xlpm.raw,_xlfn.SEQUENCE(LEN(_xlpm.raw)),1)*1,"")),
RIGHT(_xlpm.digits,5)
)</f>
        <v>85718</v>
      </c>
      <c r="L41" t="s">
        <v>539</v>
      </c>
      <c r="N41" s="1">
        <f t="shared" si="1"/>
        <v>0</v>
      </c>
      <c r="O41" s="1">
        <f t="shared" si="2"/>
        <v>0</v>
      </c>
      <c r="P41" s="1">
        <f t="shared" si="3"/>
        <v>0</v>
      </c>
      <c r="Q41" s="1">
        <f t="shared" si="4"/>
        <v>0</v>
      </c>
      <c r="R41" s="1">
        <f t="shared" si="5"/>
        <v>0</v>
      </c>
      <c r="T41">
        <v>12</v>
      </c>
    </row>
    <row r="42" spans="1:20" x14ac:dyDescent="0.25">
      <c r="A42" t="s">
        <v>560</v>
      </c>
      <c r="B42" t="str" cm="1">
        <f t="array" ref="B42">_xlfn.LET(
_xlpm.raw,C42,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2067696305</v>
      </c>
      <c r="C42" t="s">
        <v>561</v>
      </c>
      <c r="D42" t="s">
        <v>562</v>
      </c>
      <c r="E42" t="s">
        <v>563</v>
      </c>
      <c r="F42" t="s">
        <v>564</v>
      </c>
      <c r="G42" t="s">
        <v>564</v>
      </c>
      <c r="H42" t="str" cm="1">
        <f t="array" ref="H42">_xlfn.LET(
_xlpm.raw,TRIM(IF(G42&lt;&gt;"",G42,F42)),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7735 E. Castle Valley Way</v>
      </c>
      <c r="I42" t="str" cm="1">
        <f t="array" ref="I42">_xlfn.LET(
_xlpm.raw,TRIM(IF(G42&lt;&gt;"",G42,F42)),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42" t="str">
        <f t="shared" si="0"/>
        <v>AZ</v>
      </c>
      <c r="K42" t="str" cm="1">
        <f t="array" ref="K42">_xlfn.LET(
_xlpm.raw,TRIM(IF(G42&lt;&gt;"",G42,F42)),
_xlpm.digits,_xlfn.TEXTJOIN("",TRUE,IFERROR(MID(_xlpm.raw,_xlfn.SEQUENCE(LEN(_xlpm.raw)),1)*1,"")),
RIGHT(_xlpm.digits,5)
)</f>
        <v>85750</v>
      </c>
      <c r="L42" t="s">
        <v>565</v>
      </c>
      <c r="M42" t="s">
        <v>394</v>
      </c>
      <c r="N42" s="1">
        <f t="shared" si="1"/>
        <v>1296</v>
      </c>
      <c r="O42" s="1">
        <f t="shared" si="2"/>
        <v>1080</v>
      </c>
      <c r="P42" s="1">
        <f t="shared" si="3"/>
        <v>936</v>
      </c>
      <c r="Q42" s="1">
        <f t="shared" si="4"/>
        <v>900</v>
      </c>
      <c r="R42" s="1">
        <f t="shared" si="5"/>
        <v>712.8</v>
      </c>
      <c r="S42" t="s">
        <v>566</v>
      </c>
      <c r="T42">
        <v>12</v>
      </c>
    </row>
    <row r="43" spans="1:20" x14ac:dyDescent="0.25">
      <c r="A43" t="s">
        <v>622</v>
      </c>
      <c r="B43" t="str" cm="1">
        <f t="array" ref="B43">_xlfn.LET(
_xlpm.raw,C43,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5202555979</v>
      </c>
      <c r="C43" t="s">
        <v>623</v>
      </c>
      <c r="D43" t="s">
        <v>624</v>
      </c>
      <c r="E43" t="s">
        <v>625</v>
      </c>
      <c r="F43" t="s">
        <v>626</v>
      </c>
      <c r="G43" t="s">
        <v>626</v>
      </c>
      <c r="H43" t="str" cm="1">
        <f t="array" ref="H43">_xlfn.LET(
_xlpm.raw,TRIM(IF(G43&lt;&gt;"",G43,F43)),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1407 San Simeon Dr. Sierra Vista</v>
      </c>
      <c r="I43" t="s">
        <v>781</v>
      </c>
      <c r="J43" t="str">
        <f t="shared" si="0"/>
        <v>AZ</v>
      </c>
      <c r="K43" t="str" cm="1">
        <f t="array" ref="K43">_xlfn.LET(
_xlpm.raw,TRIM(IF(G43&lt;&gt;"",G43,F43)),
_xlpm.digits,_xlfn.TEXTJOIN("",TRUE,IFERROR(MID(_xlpm.raw,_xlfn.SEQUENCE(LEN(_xlpm.raw)),1)*1,"")),
RIGHT(_xlpm.digits,5)
)</f>
        <v>85635</v>
      </c>
      <c r="L43" t="s">
        <v>627</v>
      </c>
      <c r="M43" t="s">
        <v>95</v>
      </c>
      <c r="N43" s="1">
        <f t="shared" si="1"/>
        <v>1836</v>
      </c>
      <c r="O43" s="1">
        <f t="shared" si="2"/>
        <v>1530</v>
      </c>
      <c r="P43" s="1">
        <f t="shared" si="3"/>
        <v>1326</v>
      </c>
      <c r="Q43" s="1">
        <f t="shared" si="4"/>
        <v>1275</v>
      </c>
      <c r="R43" s="1">
        <f t="shared" si="5"/>
        <v>1009.8</v>
      </c>
      <c r="S43" t="s">
        <v>628</v>
      </c>
      <c r="T43">
        <v>12</v>
      </c>
    </row>
    <row r="44" spans="1:20" x14ac:dyDescent="0.25">
      <c r="A44" t="s">
        <v>636</v>
      </c>
      <c r="B44" t="str" cm="1">
        <f t="array" ref="B44">_xlfn.LET(
_xlpm.raw,C44,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5205756093</v>
      </c>
      <c r="C44" t="s">
        <v>637</v>
      </c>
      <c r="D44" t="s">
        <v>638</v>
      </c>
      <c r="E44" t="s">
        <v>639</v>
      </c>
      <c r="F44" t="s">
        <v>640</v>
      </c>
      <c r="H44" t="str" cm="1">
        <f t="array" ref="H44">_xlfn.LET(
_xlpm.raw,TRIM(IF(G44&lt;&gt;"",G44,F44)),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1621 W. Montenegro Dr.</v>
      </c>
      <c r="I44" t="str" cm="1">
        <f t="array" ref="I44">_xlfn.LET(
_xlpm.raw,TRIM(IF(G44&lt;&gt;"",G44,F44)),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44" t="str">
        <f t="shared" si="0"/>
        <v>AZ</v>
      </c>
      <c r="K44" t="str" cm="1">
        <f t="array" ref="K44">_xlfn.LET(
_xlpm.raw,TRIM(IF(G44&lt;&gt;"",G44,F44)),
_xlpm.digits,_xlfn.TEXTJOIN("",TRUE,IFERROR(MID(_xlpm.raw,_xlfn.SEQUENCE(LEN(_xlpm.raw)),1)*1,"")),
RIGHT(_xlpm.digits,5)
)</f>
        <v>85704</v>
      </c>
      <c r="L44" t="s">
        <v>446</v>
      </c>
      <c r="M44" t="s">
        <v>641</v>
      </c>
      <c r="N44" s="1">
        <f t="shared" si="1"/>
        <v>918</v>
      </c>
      <c r="O44" s="1">
        <f t="shared" si="2"/>
        <v>765</v>
      </c>
      <c r="P44" s="1">
        <f t="shared" si="3"/>
        <v>663</v>
      </c>
      <c r="Q44" s="1">
        <f t="shared" si="4"/>
        <v>637.5</v>
      </c>
      <c r="R44" s="1">
        <f t="shared" si="5"/>
        <v>504.9</v>
      </c>
      <c r="S44" t="s">
        <v>642</v>
      </c>
      <c r="T44">
        <v>12</v>
      </c>
    </row>
    <row r="45" spans="1:20" x14ac:dyDescent="0.25">
      <c r="A45" t="s">
        <v>679</v>
      </c>
      <c r="B45" t="str" cm="1">
        <f t="array" ref="B45">_xlfn.LET(
_xlpm.raw,C45,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5208614792</v>
      </c>
      <c r="C45" t="s">
        <v>680</v>
      </c>
      <c r="D45" t="s">
        <v>681</v>
      </c>
      <c r="E45" t="s">
        <v>682</v>
      </c>
      <c r="F45" t="s">
        <v>683</v>
      </c>
      <c r="H45" t="str" cm="1">
        <f t="array" ref="H45">_xlfn.LET(
_xlpm.raw,TRIM(IF(G45&lt;&gt;"",G45,F45)),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961 E. Calle Mariposa</v>
      </c>
      <c r="I45" t="str" cm="1">
        <f t="array" ref="I45">_xlfn.LET(
_xlpm.raw,TRIM(IF(G45&lt;&gt;"",G45,F45)),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45" t="str">
        <f t="shared" si="0"/>
        <v>AZ</v>
      </c>
      <c r="K45" t="str" cm="1">
        <f t="array" ref="K45">_xlfn.LET(
_xlpm.raw,TRIM(IF(G45&lt;&gt;"",G45,F45)),
_xlpm.digits,_xlfn.TEXTJOIN("",TRUE,IFERROR(MID(_xlpm.raw,_xlfn.SEQUENCE(LEN(_xlpm.raw)),1)*1,"")),
RIGHT(_xlpm.digits,5)
)</f>
        <v>85718</v>
      </c>
      <c r="L45" t="s">
        <v>684</v>
      </c>
      <c r="M45">
        <v>920</v>
      </c>
      <c r="N45" s="1">
        <f t="shared" si="1"/>
        <v>1656</v>
      </c>
      <c r="O45" s="1">
        <f t="shared" si="2"/>
        <v>1380</v>
      </c>
      <c r="P45" s="1">
        <f t="shared" si="3"/>
        <v>1196</v>
      </c>
      <c r="Q45" s="1">
        <f t="shared" si="4"/>
        <v>1150</v>
      </c>
      <c r="R45" s="1">
        <f t="shared" si="5"/>
        <v>910.8</v>
      </c>
      <c r="S45" t="s">
        <v>685</v>
      </c>
      <c r="T45">
        <v>12</v>
      </c>
    </row>
    <row r="46" spans="1:20" x14ac:dyDescent="0.25">
      <c r="A46" t="s">
        <v>686</v>
      </c>
      <c r="B46" t="str" cm="1">
        <f t="array" ref="B46">_xlfn.LET(
_xlpm.raw,C46,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5209068018</v>
      </c>
      <c r="C46" t="s">
        <v>687</v>
      </c>
      <c r="D46" t="s">
        <v>688</v>
      </c>
      <c r="E46" t="s">
        <v>689</v>
      </c>
      <c r="F46" t="s">
        <v>690</v>
      </c>
      <c r="G46" t="s">
        <v>690</v>
      </c>
      <c r="H46" t="str" cm="1">
        <f t="array" ref="H46">_xlfn.LET(
_xlpm.raw,TRIM(IF(G46&lt;&gt;"",G46,F46)),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7781 S. Ave De Belleza</v>
      </c>
      <c r="I46" t="str" cm="1">
        <f t="array" ref="I46">_xlfn.LET(
_xlpm.raw,TRIM(IF(G46&lt;&gt;"",G46,F46)),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46" t="str">
        <f t="shared" si="0"/>
        <v>AZ</v>
      </c>
      <c r="K46" t="str" cm="1">
        <f t="array" ref="K46">_xlfn.LET(
_xlpm.raw,TRIM(IF(G46&lt;&gt;"",G46,F46)),
_xlpm.digits,_xlfn.TEXTJOIN("",TRUE,IFERROR(MID(_xlpm.raw,_xlfn.SEQUENCE(LEN(_xlpm.raw)),1)*1,"")),
RIGHT(_xlpm.digits,5)
)</f>
        <v>85747</v>
      </c>
      <c r="L46" t="s">
        <v>76</v>
      </c>
      <c r="M46" t="s">
        <v>455</v>
      </c>
      <c r="N46" s="1">
        <f t="shared" si="1"/>
        <v>1350</v>
      </c>
      <c r="O46" s="1">
        <f t="shared" si="2"/>
        <v>1125</v>
      </c>
      <c r="P46" s="1">
        <f t="shared" si="3"/>
        <v>975</v>
      </c>
      <c r="Q46" s="1">
        <f t="shared" si="4"/>
        <v>937.5</v>
      </c>
      <c r="R46" s="1">
        <f t="shared" si="5"/>
        <v>742.5</v>
      </c>
      <c r="S46" t="s">
        <v>456</v>
      </c>
      <c r="T46">
        <v>12</v>
      </c>
    </row>
    <row r="47" spans="1:20" x14ac:dyDescent="0.25">
      <c r="A47" t="s">
        <v>709</v>
      </c>
      <c r="B47">
        <v>5202724084</v>
      </c>
      <c r="C47" t="s">
        <v>710</v>
      </c>
      <c r="E47" t="s">
        <v>711</v>
      </c>
      <c r="F47" t="s">
        <v>712</v>
      </c>
      <c r="H47" t="str" cm="1">
        <f t="array" ref="H47">_xlfn.LET(
_xlpm.raw,TRIM(IF(G47&lt;&gt;"",G47,F47)),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2971 N. Wentworth Rd.</v>
      </c>
      <c r="I47" t="str" cm="1">
        <f t="array" ref="I47">_xlfn.LET(
_xlpm.raw,TRIM(IF(G47&lt;&gt;"",G47,F47)),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47" t="str">
        <f t="shared" si="0"/>
        <v>AZ</v>
      </c>
      <c r="K47" t="str" cm="1">
        <f t="array" ref="K47">_xlfn.LET(
_xlpm.raw,TRIM(IF(G47&lt;&gt;"",G47,F47)),
_xlpm.digits,_xlfn.TEXTJOIN("",TRUE,IFERROR(MID(_xlpm.raw,_xlfn.SEQUENCE(LEN(_xlpm.raw)),1)*1,"")),
RIGHT(_xlpm.digits,5)
)</f>
        <v>85749</v>
      </c>
      <c r="L47" t="s">
        <v>648</v>
      </c>
      <c r="M47" t="s">
        <v>47</v>
      </c>
      <c r="N47" s="1">
        <f t="shared" si="1"/>
        <v>1620</v>
      </c>
      <c r="O47" s="1">
        <f t="shared" si="2"/>
        <v>1350</v>
      </c>
      <c r="P47" s="1">
        <f t="shared" si="3"/>
        <v>1170</v>
      </c>
      <c r="Q47" s="1">
        <f t="shared" si="4"/>
        <v>1125</v>
      </c>
      <c r="R47" s="1">
        <f t="shared" si="5"/>
        <v>891</v>
      </c>
      <c r="S47" t="s">
        <v>649</v>
      </c>
      <c r="T47">
        <v>12</v>
      </c>
    </row>
    <row r="48" spans="1:20" x14ac:dyDescent="0.25">
      <c r="A48" t="s">
        <v>750</v>
      </c>
      <c r="B48" t="str" cm="1">
        <f t="array" ref="B48">_xlfn.LET(
_xlpm.raw,C48,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5204040026</v>
      </c>
      <c r="C48" t="s">
        <v>751</v>
      </c>
      <c r="D48" t="s">
        <v>752</v>
      </c>
      <c r="E48" t="s">
        <v>753</v>
      </c>
      <c r="F48" t="s">
        <v>754</v>
      </c>
      <c r="G48" t="s">
        <v>754</v>
      </c>
      <c r="H48" t="str" cm="1">
        <f t="array" ref="H48">_xlfn.LET(
_xlpm.raw,TRIM(IF(G48&lt;&gt;"",G48,F48)),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5302 E. Camino Rio De Luz</v>
      </c>
      <c r="I48" t="str" cm="1">
        <f t="array" ref="I48">_xlfn.LET(
_xlpm.raw,TRIM(IF(G48&lt;&gt;"",G48,F48)),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48" t="str">
        <f t="shared" si="0"/>
        <v>AZ</v>
      </c>
      <c r="K48" t="str" cm="1">
        <f t="array" ref="K48">_xlfn.LET(
_xlpm.raw,TRIM(IF(G48&lt;&gt;"",G48,F48)),
_xlpm.digits,_xlfn.TEXTJOIN("",TRUE,IFERROR(MID(_xlpm.raw,_xlfn.SEQUENCE(LEN(_xlpm.raw)),1)*1,"")),
RIGHT(_xlpm.digits,5)
)</f>
        <v>85718</v>
      </c>
      <c r="L48" t="s">
        <v>265</v>
      </c>
      <c r="N48" s="1">
        <f t="shared" si="1"/>
        <v>0</v>
      </c>
      <c r="O48" s="1">
        <f t="shared" si="2"/>
        <v>0</v>
      </c>
      <c r="P48" s="1">
        <f t="shared" si="3"/>
        <v>0</v>
      </c>
      <c r="Q48" s="1">
        <f t="shared" si="4"/>
        <v>0</v>
      </c>
      <c r="R48" s="1">
        <f t="shared" si="5"/>
        <v>0</v>
      </c>
      <c r="S48" t="s">
        <v>755</v>
      </c>
      <c r="T48">
        <v>12</v>
      </c>
    </row>
    <row r="49" spans="1:20" x14ac:dyDescent="0.25">
      <c r="A49" t="s">
        <v>763</v>
      </c>
      <c r="B49" t="str" cm="1">
        <f t="array" ref="B49">_xlfn.LET(
_xlpm.raw,C49,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5206311671</v>
      </c>
      <c r="C49" t="s">
        <v>764</v>
      </c>
      <c r="D49" t="s">
        <v>765</v>
      </c>
      <c r="E49" t="s">
        <v>766</v>
      </c>
      <c r="F49" t="s">
        <v>767</v>
      </c>
      <c r="G49" t="s">
        <v>767</v>
      </c>
      <c r="H49" t="str" cm="1">
        <f t="array" ref="H49">_xlfn.LET(
_xlpm.raw,TRIM(IF(G49&lt;&gt;"",G49,F49)),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10916 N. Pusch Ridge View Pl.</v>
      </c>
      <c r="I49" t="str" cm="1">
        <f t="array" ref="I49">_xlfn.LET(
_xlpm.raw,TRIM(IF(G49&lt;&gt;"",G49,F49)),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Oro Valley</v>
      </c>
      <c r="J49" t="str">
        <f t="shared" si="0"/>
        <v>AZ</v>
      </c>
      <c r="K49" t="str" cm="1">
        <f t="array" ref="K49">_xlfn.LET(
_xlpm.raw,TRIM(IF(G49&lt;&gt;"",G49,F49)),
_xlpm.digits,_xlfn.TEXTJOIN("",TRUE,IFERROR(MID(_xlpm.raw,_xlfn.SEQUENCE(LEN(_xlpm.raw)),1)*1,"")),
RIGHT(_xlpm.digits,5)
)</f>
        <v>85737</v>
      </c>
      <c r="L49" t="s">
        <v>584</v>
      </c>
      <c r="M49" t="s">
        <v>47</v>
      </c>
      <c r="N49" s="1">
        <f t="shared" si="1"/>
        <v>1620</v>
      </c>
      <c r="O49" s="1">
        <f t="shared" si="2"/>
        <v>1350</v>
      </c>
      <c r="P49" s="1">
        <f t="shared" si="3"/>
        <v>1170</v>
      </c>
      <c r="Q49" s="1">
        <f t="shared" si="4"/>
        <v>1125</v>
      </c>
      <c r="R49" s="1">
        <f t="shared" si="5"/>
        <v>891</v>
      </c>
      <c r="S49" t="s">
        <v>768</v>
      </c>
      <c r="T49">
        <v>12</v>
      </c>
    </row>
    <row r="50" spans="1:20" x14ac:dyDescent="0.25">
      <c r="A50" t="s">
        <v>396</v>
      </c>
      <c r="B50" t="str" cm="1">
        <f t="array" ref="B50">_xlfn.LET(
_xlpm.raw,C50,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5202705745</v>
      </c>
      <c r="C50" t="s">
        <v>397</v>
      </c>
      <c r="D50" t="s">
        <v>398</v>
      </c>
      <c r="E50" t="s">
        <v>399</v>
      </c>
      <c r="F50" t="s">
        <v>400</v>
      </c>
      <c r="G50" t="s">
        <v>400</v>
      </c>
      <c r="H50" t="str" cm="1">
        <f t="array" ref="H50">_xlfn.LET(
_xlpm.raw,TRIM(IF(G50&lt;&gt;"",G50,F50)),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8355 N. Douglas Fir Drive</v>
      </c>
      <c r="I50" t="str" cm="1">
        <f t="array" ref="I50">_xlfn.LET(
_xlpm.raw,TRIM(IF(G50&lt;&gt;"",G50,F50)),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50" t="str">
        <f t="shared" si="0"/>
        <v>AZ</v>
      </c>
      <c r="K50" t="str" cm="1">
        <f t="array" ref="K50">_xlfn.LET(
_xlpm.raw,TRIM(IF(G50&lt;&gt;"",G50,F50)),
_xlpm.digits,_xlfn.TEXTJOIN("",TRUE,IFERROR(MID(_xlpm.raw,_xlfn.SEQUENCE(LEN(_xlpm.raw)),1)*1,"")),
RIGHT(_xlpm.digits,5)
)</f>
        <v>85743</v>
      </c>
      <c r="L50" t="s">
        <v>401</v>
      </c>
      <c r="M50" t="s">
        <v>402</v>
      </c>
      <c r="N50" s="1">
        <f t="shared" si="1"/>
        <v>756</v>
      </c>
      <c r="O50" s="1">
        <f t="shared" si="2"/>
        <v>630</v>
      </c>
      <c r="P50" s="1">
        <f t="shared" si="3"/>
        <v>546</v>
      </c>
      <c r="Q50" s="1">
        <f t="shared" si="4"/>
        <v>525</v>
      </c>
      <c r="R50" s="1">
        <f t="shared" si="5"/>
        <v>415.8</v>
      </c>
      <c r="S50" t="s">
        <v>403</v>
      </c>
      <c r="T50">
        <v>11</v>
      </c>
    </row>
    <row r="51" spans="1:20" x14ac:dyDescent="0.25">
      <c r="A51" t="s">
        <v>457</v>
      </c>
      <c r="B51" t="str" cm="1">
        <f t="array" ref="B51">_xlfn.LET(
_xlpm.raw,C51,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5202979978</v>
      </c>
      <c r="C51" t="s">
        <v>458</v>
      </c>
      <c r="D51" t="s">
        <v>459</v>
      </c>
      <c r="E51" t="s">
        <v>460</v>
      </c>
      <c r="F51" t="s">
        <v>461</v>
      </c>
      <c r="G51" t="s">
        <v>461</v>
      </c>
      <c r="H51" t="str" cm="1">
        <f t="array" ref="H51">_xlfn.LET(
_xlpm.raw,TRIM(IF(G51&lt;&gt;"",G51,F51)),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343 W. Meadowbrook</v>
      </c>
      <c r="I51" t="str" cm="1">
        <f t="array" ref="I51">_xlfn.LET(
_xlpm.raw,TRIM(IF(G51&lt;&gt;"",G51,F51)),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51" t="str">
        <f t="shared" si="0"/>
        <v>AZ</v>
      </c>
      <c r="K51" t="str" cm="1">
        <f t="array" ref="K51">_xlfn.LET(
_xlpm.raw,TRIM(IF(G51&lt;&gt;"",G51,F51)),
_xlpm.digits,_xlfn.TEXTJOIN("",TRUE,IFERROR(MID(_xlpm.raw,_xlfn.SEQUENCE(LEN(_xlpm.raw)),1)*1,"")),
RIGHT(_xlpm.digits,5)
)</f>
        <v>85704</v>
      </c>
      <c r="L51" t="s">
        <v>462</v>
      </c>
      <c r="N51" s="1">
        <f t="shared" si="1"/>
        <v>0</v>
      </c>
      <c r="O51" s="1">
        <f t="shared" si="2"/>
        <v>0</v>
      </c>
      <c r="P51" s="1">
        <f t="shared" si="3"/>
        <v>0</v>
      </c>
      <c r="Q51" s="1">
        <f t="shared" si="4"/>
        <v>0</v>
      </c>
      <c r="R51" s="1">
        <f t="shared" si="5"/>
        <v>0</v>
      </c>
      <c r="S51" t="s">
        <v>463</v>
      </c>
      <c r="T51">
        <v>9</v>
      </c>
    </row>
    <row r="52" spans="1:20" x14ac:dyDescent="0.25">
      <c r="A52" t="s">
        <v>10</v>
      </c>
      <c r="B52" t="str" cm="1">
        <f t="array" ref="B52">_xlfn.LET(
_xlpm.raw,C52,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7206356250</v>
      </c>
      <c r="C52" t="s">
        <v>11</v>
      </c>
      <c r="D52" t="s">
        <v>12</v>
      </c>
      <c r="E52" t="s">
        <v>13</v>
      </c>
      <c r="F52" t="s">
        <v>14</v>
      </c>
      <c r="H52" t="str" cm="1">
        <f t="array" ref="H52">_xlfn.LET(
_xlpm.raw,TRIM(IF(G52&lt;&gt;"",G52,F52)),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8701 S. Kolb Rd. #298</v>
      </c>
      <c r="I52" t="str" cm="1">
        <f t="array" ref="I52">_xlfn.LET(
_xlpm.raw,TRIM(IF(G52&lt;&gt;"",G52,F52)),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52" t="str">
        <f t="shared" si="0"/>
        <v>AZ</v>
      </c>
      <c r="K52" t="str" cm="1">
        <f t="array" ref="K52">_xlfn.LET(
_xlpm.raw,TRIM(IF(G52&lt;&gt;"",G52,F52)),
_xlpm.digits,_xlfn.TEXTJOIN("",TRUE,IFERROR(MID(_xlpm.raw,_xlfn.SEQUENCE(LEN(_xlpm.raw)),1)*1,"")),
RIGHT(_xlpm.digits,5)
)</f>
        <v>85756</v>
      </c>
      <c r="L52" t="s">
        <v>15</v>
      </c>
      <c r="M52" t="s">
        <v>16</v>
      </c>
      <c r="N52" s="1">
        <f t="shared" si="1"/>
        <v>270</v>
      </c>
      <c r="O52" s="1">
        <f t="shared" si="2"/>
        <v>225</v>
      </c>
      <c r="P52" s="1">
        <f t="shared" si="3"/>
        <v>195</v>
      </c>
      <c r="Q52" s="1">
        <f t="shared" si="4"/>
        <v>187.5</v>
      </c>
      <c r="R52" s="1">
        <f t="shared" si="5"/>
        <v>148.5</v>
      </c>
      <c r="S52" t="s">
        <v>17</v>
      </c>
      <c r="T52">
        <v>8</v>
      </c>
    </row>
    <row r="53" spans="1:20" x14ac:dyDescent="0.25">
      <c r="A53" t="s">
        <v>56</v>
      </c>
      <c r="B53" t="str" cm="1">
        <f t="array" ref="B53">_xlfn.LET(
_xlpm.raw,C53,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5209754459</v>
      </c>
      <c r="C53" t="s">
        <v>57</v>
      </c>
      <c r="D53" t="s">
        <v>58</v>
      </c>
      <c r="E53" t="s">
        <v>59</v>
      </c>
      <c r="F53" t="s">
        <v>60</v>
      </c>
      <c r="H53" t="str" cm="1">
        <f t="array" ref="H53">_xlfn.LET(
_xlpm.raw,TRIM(IF(G53&lt;&gt;"",G53,F53)),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1611 N. Kelly Pl.</v>
      </c>
      <c r="I53" t="str" cm="1">
        <f t="array" ref="I53">_xlfn.LET(
_xlpm.raw,TRIM(IF(G53&lt;&gt;"",G53,F53)),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53" t="str">
        <f t="shared" si="0"/>
        <v>AZ</v>
      </c>
      <c r="K53" t="str" cm="1">
        <f t="array" ref="K53">_xlfn.LET(
_xlpm.raw,TRIM(IF(G53&lt;&gt;"",G53,F53)),
_xlpm.digits,_xlfn.TEXTJOIN("",TRUE,IFERROR(MID(_xlpm.raw,_xlfn.SEQUENCE(LEN(_xlpm.raw)),1)*1,"")),
RIGHT(_xlpm.digits,5)
)</f>
        <v>85715</v>
      </c>
      <c r="L53" t="s">
        <v>38</v>
      </c>
      <c r="M53" t="s">
        <v>61</v>
      </c>
      <c r="N53" s="1">
        <f t="shared" si="1"/>
        <v>540</v>
      </c>
      <c r="O53" s="1">
        <f t="shared" si="2"/>
        <v>450</v>
      </c>
      <c r="P53" s="1">
        <f t="shared" si="3"/>
        <v>390</v>
      </c>
      <c r="Q53" s="1">
        <f t="shared" si="4"/>
        <v>375</v>
      </c>
      <c r="R53" s="1">
        <f t="shared" si="5"/>
        <v>297</v>
      </c>
      <c r="S53" t="s">
        <v>62</v>
      </c>
      <c r="T53">
        <v>8</v>
      </c>
    </row>
    <row r="54" spans="1:20" x14ac:dyDescent="0.25">
      <c r="A54" t="s">
        <v>71</v>
      </c>
      <c r="B54">
        <v>5202980994</v>
      </c>
      <c r="C54" t="s">
        <v>72</v>
      </c>
      <c r="D54" t="s">
        <v>73</v>
      </c>
      <c r="E54" t="s">
        <v>74</v>
      </c>
      <c r="F54" t="s">
        <v>75</v>
      </c>
      <c r="G54" t="s">
        <v>75</v>
      </c>
      <c r="H54" t="str" cm="1">
        <f t="array" ref="H54">_xlfn.LET(
_xlpm.raw,TRIM(IF(G54&lt;&gt;"",G54,F54)),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10490 E. Sky High Dr.</v>
      </c>
      <c r="I54" t="str" cm="1">
        <f t="array" ref="I54">_xlfn.LET(
_xlpm.raw,TRIM(IF(G54&lt;&gt;"",G54,F54)),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54" t="str">
        <f t="shared" si="0"/>
        <v>AZ</v>
      </c>
      <c r="K54" t="str" cm="1">
        <f t="array" ref="K54">_xlfn.LET(
_xlpm.raw,TRIM(IF(G54&lt;&gt;"",G54,F54)),
_xlpm.digits,_xlfn.TEXTJOIN("",TRUE,IFERROR(MID(_xlpm.raw,_xlfn.SEQUENCE(LEN(_xlpm.raw)),1)*1,"")),
RIGHT(_xlpm.digits,5)
)</f>
        <v>85730</v>
      </c>
      <c r="L54" t="s">
        <v>76</v>
      </c>
      <c r="M54" t="s">
        <v>77</v>
      </c>
      <c r="N54" s="1">
        <f t="shared" si="1"/>
        <v>1242</v>
      </c>
      <c r="O54" s="1">
        <f t="shared" si="2"/>
        <v>1035</v>
      </c>
      <c r="P54" s="1">
        <f t="shared" si="3"/>
        <v>897</v>
      </c>
      <c r="Q54" s="1">
        <f t="shared" si="4"/>
        <v>862.5</v>
      </c>
      <c r="R54" s="1">
        <f t="shared" si="5"/>
        <v>683.1</v>
      </c>
      <c r="S54" t="s">
        <v>78</v>
      </c>
      <c r="T54">
        <v>8</v>
      </c>
    </row>
    <row r="55" spans="1:20" x14ac:dyDescent="0.25">
      <c r="A55" t="s">
        <v>79</v>
      </c>
      <c r="B55" t="str" cm="1">
        <f t="array" ref="B55">_xlfn.LET(
_xlpm.raw,C55,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5203496993</v>
      </c>
      <c r="C55" t="s">
        <v>80</v>
      </c>
      <c r="D55" t="s">
        <v>81</v>
      </c>
      <c r="E55" t="s">
        <v>82</v>
      </c>
      <c r="F55" t="s">
        <v>83</v>
      </c>
      <c r="G55" t="s">
        <v>83</v>
      </c>
      <c r="H55" t="str" cm="1">
        <f t="array" ref="H55">_xlfn.LET(
_xlpm.raw,TRIM(IF(G55&lt;&gt;"",G55,F55)),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10965 N. Black Canyon Court</v>
      </c>
      <c r="I55" t="str" cm="1">
        <f t="array" ref="I55">_xlfn.LET(
_xlpm.raw,TRIM(IF(G55&lt;&gt;"",G55,F55)),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Oro Valley</v>
      </c>
      <c r="J55" t="str">
        <f t="shared" si="0"/>
        <v>AZ</v>
      </c>
      <c r="K55" t="str" cm="1">
        <f t="array" ref="K55">_xlfn.LET(
_xlpm.raw,TRIM(IF(G55&lt;&gt;"",G55,F55)),
_xlpm.digits,_xlfn.TEXTJOIN("",TRUE,IFERROR(MID(_xlpm.raw,_xlfn.SEQUENCE(LEN(_xlpm.raw)),1)*1,"")),
RIGHT(_xlpm.digits,5)
)</f>
        <v>85737</v>
      </c>
      <c r="L55" t="s">
        <v>84</v>
      </c>
      <c r="M55" t="s">
        <v>85</v>
      </c>
      <c r="N55" s="1">
        <f t="shared" si="1"/>
        <v>648</v>
      </c>
      <c r="O55" s="1">
        <f t="shared" si="2"/>
        <v>540</v>
      </c>
      <c r="P55" s="1">
        <f t="shared" si="3"/>
        <v>468</v>
      </c>
      <c r="Q55" s="1">
        <f t="shared" si="4"/>
        <v>450</v>
      </c>
      <c r="R55" s="1">
        <f t="shared" si="5"/>
        <v>356.4</v>
      </c>
      <c r="S55" t="s">
        <v>86</v>
      </c>
      <c r="T55">
        <v>8</v>
      </c>
    </row>
    <row r="56" spans="1:20" x14ac:dyDescent="0.25">
      <c r="A56" t="s">
        <v>97</v>
      </c>
      <c r="B56" t="str" cm="1">
        <f t="array" ref="B56">_xlfn.LET(
_xlpm.raw,C56,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5206782704</v>
      </c>
      <c r="C56" t="s">
        <v>98</v>
      </c>
      <c r="D56" t="s">
        <v>99</v>
      </c>
      <c r="E56" t="s">
        <v>100</v>
      </c>
      <c r="F56" t="s">
        <v>101</v>
      </c>
      <c r="H56" t="str" cm="1">
        <f t="array" ref="H56">_xlfn.LET(
_xlpm.raw,TRIM(IF(G56&lt;&gt;"",G56,F56)),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4254 S. Sauk Ave. Sierra Vista</v>
      </c>
      <c r="I56" t="s">
        <v>781</v>
      </c>
      <c r="J56" t="str">
        <f t="shared" si="0"/>
        <v>AZ</v>
      </c>
      <c r="K56" t="str" cm="1">
        <f t="array" ref="K56">_xlfn.LET(
_xlpm.raw,TRIM(IF(G56&lt;&gt;"",G56,F56)),
_xlpm.digits,_xlfn.TEXTJOIN("",TRUE,IFERROR(MID(_xlpm.raw,_xlfn.SEQUENCE(LEN(_xlpm.raw)),1)*1,"")),
RIGHT(_xlpm.digits,5)
)</f>
        <v>85650</v>
      </c>
      <c r="L56" t="s">
        <v>102</v>
      </c>
      <c r="M56" t="s">
        <v>103</v>
      </c>
      <c r="N56" s="1">
        <f t="shared" si="1"/>
        <v>1134</v>
      </c>
      <c r="O56" s="1">
        <f t="shared" si="2"/>
        <v>945</v>
      </c>
      <c r="P56" s="1">
        <f t="shared" si="3"/>
        <v>819</v>
      </c>
      <c r="Q56" s="1">
        <f t="shared" si="4"/>
        <v>787.5</v>
      </c>
      <c r="R56" s="1">
        <f t="shared" si="5"/>
        <v>623.70000000000005</v>
      </c>
      <c r="S56" t="s">
        <v>104</v>
      </c>
      <c r="T56">
        <v>8</v>
      </c>
    </row>
    <row r="57" spans="1:20" x14ac:dyDescent="0.25">
      <c r="A57" t="s">
        <v>136</v>
      </c>
      <c r="B57" t="str" cm="1">
        <f t="array" ref="B57">_xlfn.LET(
_xlpm.raw,C57,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4802138062</v>
      </c>
      <c r="C57" t="s">
        <v>137</v>
      </c>
      <c r="D57" t="s">
        <v>138</v>
      </c>
      <c r="F57" t="s">
        <v>139</v>
      </c>
      <c r="G57" t="s">
        <v>139</v>
      </c>
      <c r="H57" t="str" cm="1">
        <f t="array" ref="H57">_xlfn.LET(
_xlpm.raw,TRIM(IF(G57&lt;&gt;"",G57,F57)),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230 S. Siesta Lane Tempe</v>
      </c>
      <c r="I57" t="s">
        <v>782</v>
      </c>
      <c r="J57" t="str">
        <f t="shared" si="0"/>
        <v>AZ</v>
      </c>
      <c r="K57" t="str" cm="1">
        <f t="array" ref="K57">_xlfn.LET(
_xlpm.raw,TRIM(IF(G57&lt;&gt;"",G57,F57)),
_xlpm.digits,_xlfn.TEXTJOIN("",TRUE,IFERROR(MID(_xlpm.raw,_xlfn.SEQUENCE(LEN(_xlpm.raw)),1)*1,"")),
RIGHT(_xlpm.digits,5)
)</f>
        <v>85288</v>
      </c>
      <c r="L57" t="s">
        <v>140</v>
      </c>
      <c r="N57" s="1">
        <f t="shared" si="1"/>
        <v>0</v>
      </c>
      <c r="O57" s="1">
        <f t="shared" si="2"/>
        <v>0</v>
      </c>
      <c r="P57" s="1">
        <f t="shared" si="3"/>
        <v>0</v>
      </c>
      <c r="Q57" s="1">
        <f t="shared" si="4"/>
        <v>0</v>
      </c>
      <c r="R57" s="1">
        <f t="shared" si="5"/>
        <v>0</v>
      </c>
      <c r="T57">
        <v>8</v>
      </c>
    </row>
    <row r="58" spans="1:20" x14ac:dyDescent="0.25">
      <c r="A58" t="s">
        <v>141</v>
      </c>
      <c r="B58" t="str" cm="1">
        <f t="array" ref="B58">_xlfn.LET(
_xlpm.raw,C58,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5202569281</v>
      </c>
      <c r="C58" t="s">
        <v>142</v>
      </c>
      <c r="D58" t="s">
        <v>143</v>
      </c>
      <c r="E58" t="s">
        <v>144</v>
      </c>
      <c r="F58" t="s">
        <v>145</v>
      </c>
      <c r="G58" t="s">
        <v>145</v>
      </c>
      <c r="H58" t="str" cm="1">
        <f t="array" ref="H58">_xlfn.LET(
_xlpm.raw,TRIM(IF(G58&lt;&gt;"",G58,F58)),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10962 E. Roscommon St.</v>
      </c>
      <c r="I58" t="str" cm="1">
        <f t="array" ref="I58">_xlfn.LET(
_xlpm.raw,TRIM(IF(G58&lt;&gt;"",G58,F58)),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58" t="str">
        <f t="shared" si="0"/>
        <v>AZ</v>
      </c>
      <c r="K58" t="str" cm="1">
        <f t="array" ref="K58">_xlfn.LET(
_xlpm.raw,TRIM(IF(G58&lt;&gt;"",G58,F58)),
_xlpm.digits,_xlfn.TEXTJOIN("",TRUE,IFERROR(MID(_xlpm.raw,_xlfn.SEQUENCE(LEN(_xlpm.raw)),1)*1,"")),
RIGHT(_xlpm.digits,5)
)</f>
        <v>85747</v>
      </c>
      <c r="L58" t="s">
        <v>146</v>
      </c>
      <c r="M58" t="s">
        <v>147</v>
      </c>
      <c r="N58" s="1">
        <f t="shared" si="1"/>
        <v>810</v>
      </c>
      <c r="O58" s="1">
        <f t="shared" si="2"/>
        <v>675</v>
      </c>
      <c r="P58" s="1">
        <f t="shared" si="3"/>
        <v>585</v>
      </c>
      <c r="Q58" s="1">
        <f t="shared" si="4"/>
        <v>562.5</v>
      </c>
      <c r="R58" s="1">
        <f t="shared" si="5"/>
        <v>445.5</v>
      </c>
      <c r="S58" t="s">
        <v>148</v>
      </c>
      <c r="T58">
        <v>8</v>
      </c>
    </row>
    <row r="59" spans="1:20" x14ac:dyDescent="0.25">
      <c r="A59" t="s">
        <v>149</v>
      </c>
      <c r="B59">
        <v>5208792894</v>
      </c>
      <c r="C59" t="s">
        <v>150</v>
      </c>
      <c r="D59" t="s">
        <v>151</v>
      </c>
      <c r="E59" t="s">
        <v>152</v>
      </c>
      <c r="F59" t="s">
        <v>153</v>
      </c>
      <c r="H59" t="str" cm="1">
        <f t="array" ref="H59">_xlfn.LET(
_xlpm.raw,TRIM(IF(G59&lt;&gt;"",G59,F59)),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Mr. Nemer Hassey12775 E. Mary Ann Cleveland Way</v>
      </c>
      <c r="I59" t="str" cm="1">
        <f t="array" ref="I59">_xlfn.LET(
_xlpm.raw,TRIM(IF(G59&lt;&gt;"",G59,F59)),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Vail</v>
      </c>
      <c r="J59" t="str">
        <f t="shared" si="0"/>
        <v>AZ</v>
      </c>
      <c r="K59" t="str" cm="1">
        <f t="array" ref="K59">_xlfn.LET(
_xlpm.raw,TRIM(IF(G59&lt;&gt;"",G59,F59)),
_xlpm.digits,_xlfn.TEXTJOIN("",TRUE,IFERROR(MID(_xlpm.raw,_xlfn.SEQUENCE(LEN(_xlpm.raw)),1)*1,"")),
RIGHT(_xlpm.digits,5)
)</f>
        <v>85641</v>
      </c>
      <c r="L59" t="s">
        <v>110</v>
      </c>
      <c r="N59" s="1">
        <f t="shared" si="1"/>
        <v>0</v>
      </c>
      <c r="O59" s="1">
        <f t="shared" si="2"/>
        <v>0</v>
      </c>
      <c r="P59" s="1">
        <f t="shared" si="3"/>
        <v>0</v>
      </c>
      <c r="Q59" s="1">
        <f t="shared" si="4"/>
        <v>0</v>
      </c>
      <c r="R59" s="1">
        <f t="shared" si="5"/>
        <v>0</v>
      </c>
      <c r="S59" t="s">
        <v>154</v>
      </c>
      <c r="T59">
        <v>8</v>
      </c>
    </row>
    <row r="60" spans="1:20" x14ac:dyDescent="0.25">
      <c r="A60" t="s">
        <v>155</v>
      </c>
      <c r="B60" t="str" cm="1">
        <f t="array" ref="B60">_xlfn.LET(
_xlpm.raw,C60,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5208859650</v>
      </c>
      <c r="C60" t="s">
        <v>156</v>
      </c>
      <c r="D60" t="s">
        <v>157</v>
      </c>
      <c r="E60" t="s">
        <v>158</v>
      </c>
      <c r="F60" t="s">
        <v>159</v>
      </c>
      <c r="G60" t="s">
        <v>159</v>
      </c>
      <c r="H60" t="str" cm="1">
        <f t="array" ref="H60">_xlfn.LET(
_xlpm.raw,TRIM(IF(G60&lt;&gt;"",G60,F60)),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9652 E. Catalina Hills Rd.</v>
      </c>
      <c r="I60" t="str" cm="1">
        <f t="array" ref="I60">_xlfn.LET(
_xlpm.raw,TRIM(IF(G60&lt;&gt;"",G60,F60)),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60" t="str">
        <f t="shared" si="0"/>
        <v>AZ</v>
      </c>
      <c r="K60" t="str" cm="1">
        <f t="array" ref="K60">_xlfn.LET(
_xlpm.raw,TRIM(IF(G60&lt;&gt;"",G60,F60)),
_xlpm.digits,_xlfn.TEXTJOIN("",TRUE,IFERROR(MID(_xlpm.raw,_xlfn.SEQUENCE(LEN(_xlpm.raw)),1)*1,"")),
RIGHT(_xlpm.digits,5)
)</f>
        <v>85748</v>
      </c>
      <c r="L60" t="s">
        <v>160</v>
      </c>
      <c r="M60" t="s">
        <v>126</v>
      </c>
      <c r="N60" s="1">
        <f t="shared" si="1"/>
        <v>1080</v>
      </c>
      <c r="O60" s="1">
        <f t="shared" si="2"/>
        <v>900</v>
      </c>
      <c r="P60" s="1">
        <f t="shared" si="3"/>
        <v>780</v>
      </c>
      <c r="Q60" s="1">
        <f t="shared" si="4"/>
        <v>750</v>
      </c>
      <c r="R60" s="1">
        <f t="shared" si="5"/>
        <v>594</v>
      </c>
      <c r="S60" t="s">
        <v>161</v>
      </c>
      <c r="T60">
        <v>8</v>
      </c>
    </row>
    <row r="61" spans="1:20" x14ac:dyDescent="0.25">
      <c r="A61" t="s">
        <v>162</v>
      </c>
      <c r="B61" t="str" cm="1">
        <f t="array" ref="B61">_xlfn.LET(
_xlpm.raw,C61,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5208699144</v>
      </c>
      <c r="C61" t="s">
        <v>163</v>
      </c>
      <c r="D61" t="s">
        <v>164</v>
      </c>
      <c r="E61" t="s">
        <v>165</v>
      </c>
      <c r="F61" t="s">
        <v>166</v>
      </c>
      <c r="G61" t="s">
        <v>166</v>
      </c>
      <c r="H61" t="str" cm="1">
        <f t="array" ref="H61">_xlfn.LET(
_xlpm.raw,TRIM(IF(G61&lt;&gt;"",G61,F61)),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6121 E. 17th St.</v>
      </c>
      <c r="I61" t="str" cm="1">
        <f t="array" ref="I61">_xlfn.LET(
_xlpm.raw,TRIM(IF(G61&lt;&gt;"",G61,F61)),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61" t="str">
        <f t="shared" si="0"/>
        <v>AZ</v>
      </c>
      <c r="K61" t="str" cm="1">
        <f t="array" ref="K61">_xlfn.LET(
_xlpm.raw,TRIM(IF(G61&lt;&gt;"",G61,F61)),
_xlpm.digits,_xlfn.TEXTJOIN("",TRUE,IFERROR(MID(_xlpm.raw,_xlfn.SEQUENCE(LEN(_xlpm.raw)),1)*1,"")),
RIGHT(_xlpm.digits,5)
)</f>
        <v>85711</v>
      </c>
      <c r="L61" t="s">
        <v>160</v>
      </c>
      <c r="M61" t="s">
        <v>126</v>
      </c>
      <c r="N61" s="1">
        <f t="shared" si="1"/>
        <v>1080</v>
      </c>
      <c r="O61" s="1">
        <f t="shared" si="2"/>
        <v>900</v>
      </c>
      <c r="P61" s="1">
        <f t="shared" si="3"/>
        <v>780</v>
      </c>
      <c r="Q61" s="1">
        <f t="shared" si="4"/>
        <v>750</v>
      </c>
      <c r="R61" s="1">
        <f t="shared" si="5"/>
        <v>594</v>
      </c>
      <c r="S61" t="s">
        <v>161</v>
      </c>
      <c r="T61">
        <v>8</v>
      </c>
    </row>
    <row r="62" spans="1:20" x14ac:dyDescent="0.25">
      <c r="A62" t="s">
        <v>175</v>
      </c>
      <c r="B62" t="str" cm="1">
        <f t="array" ref="B62">_xlfn.LET(
_xlpm.raw,C62,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5208504374</v>
      </c>
      <c r="C62" t="s">
        <v>176</v>
      </c>
      <c r="D62" t="s">
        <v>177</v>
      </c>
      <c r="E62" t="s">
        <v>178</v>
      </c>
      <c r="F62" t="s">
        <v>179</v>
      </c>
      <c r="H62" t="str" cm="1">
        <f t="array" ref="H62">_xlfn.LET(
_xlpm.raw,TRIM(IF(G62&lt;&gt;"",G62,F62)),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670 N. Citrus Ave.</v>
      </c>
      <c r="I62" t="str" cm="1">
        <f t="array" ref="I62">_xlfn.LET(
_xlpm.raw,TRIM(IF(G62&lt;&gt;"",G62,F62)),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62" t="str">
        <f t="shared" si="0"/>
        <v>AZ</v>
      </c>
      <c r="K62" t="str" cm="1">
        <f t="array" ref="K62">_xlfn.LET(
_xlpm.raw,TRIM(IF(G62&lt;&gt;"",G62,F62)),
_xlpm.digits,_xlfn.TEXTJOIN("",TRUE,IFERROR(MID(_xlpm.raw,_xlfn.SEQUENCE(LEN(_xlpm.raw)),1)*1,"")),
RIGHT(_xlpm.digits,5)
)</f>
        <v>85748</v>
      </c>
      <c r="L62" t="s">
        <v>180</v>
      </c>
      <c r="M62" t="s">
        <v>88</v>
      </c>
      <c r="N62" s="1">
        <f t="shared" si="1"/>
        <v>1188</v>
      </c>
      <c r="O62" s="1">
        <f t="shared" si="2"/>
        <v>990</v>
      </c>
      <c r="P62" s="1">
        <f t="shared" si="3"/>
        <v>858</v>
      </c>
      <c r="Q62" s="1">
        <f t="shared" si="4"/>
        <v>825</v>
      </c>
      <c r="R62" s="1">
        <f t="shared" si="5"/>
        <v>653.4</v>
      </c>
      <c r="S62" t="s">
        <v>181</v>
      </c>
      <c r="T62">
        <v>8</v>
      </c>
    </row>
    <row r="63" spans="1:20" x14ac:dyDescent="0.25">
      <c r="A63" t="s">
        <v>182</v>
      </c>
      <c r="B63" t="str" cm="1">
        <f t="array" ref="B63">_xlfn.LET(
_xlpm.raw,C63,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5204900827</v>
      </c>
      <c r="C63" t="s">
        <v>183</v>
      </c>
      <c r="D63" t="s">
        <v>184</v>
      </c>
      <c r="E63" t="s">
        <v>185</v>
      </c>
      <c r="F63" t="s">
        <v>186</v>
      </c>
      <c r="G63" t="s">
        <v>186</v>
      </c>
      <c r="H63" t="str" cm="1">
        <f t="array" ref="H63">_xlfn.LET(
_xlpm.raw,TRIM(IF(G63&lt;&gt;"",G63,F63)),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5814 S. Clonmellon Ave.</v>
      </c>
      <c r="I63" t="str" cm="1">
        <f t="array" ref="I63">_xlfn.LET(
_xlpm.raw,TRIM(IF(G63&lt;&gt;"",G63,F63)),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63" t="str">
        <f t="shared" si="0"/>
        <v>AZ</v>
      </c>
      <c r="K63" t="str" cm="1">
        <f t="array" ref="K63">_xlfn.LET(
_xlpm.raw,TRIM(IF(G63&lt;&gt;"",G63,F63)),
_xlpm.digits,_xlfn.TEXTJOIN("",TRUE,IFERROR(MID(_xlpm.raw,_xlfn.SEQUENCE(LEN(_xlpm.raw)),1)*1,"")),
RIGHT(_xlpm.digits,5)
)</f>
        <v>85747</v>
      </c>
      <c r="L63" t="s">
        <v>187</v>
      </c>
      <c r="N63" s="1">
        <f t="shared" si="1"/>
        <v>0</v>
      </c>
      <c r="O63" s="1">
        <f t="shared" si="2"/>
        <v>0</v>
      </c>
      <c r="P63" s="1">
        <f t="shared" si="3"/>
        <v>0</v>
      </c>
      <c r="Q63" s="1">
        <f t="shared" si="4"/>
        <v>0</v>
      </c>
      <c r="R63" s="1">
        <f t="shared" si="5"/>
        <v>0</v>
      </c>
      <c r="S63" t="s">
        <v>188</v>
      </c>
      <c r="T63">
        <v>8</v>
      </c>
    </row>
    <row r="64" spans="1:20" x14ac:dyDescent="0.25">
      <c r="A64" t="s">
        <v>189</v>
      </c>
      <c r="B64" t="str" cm="1">
        <f t="array" ref="B64">_xlfn.LET(
_xlpm.raw,C64,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5203705903</v>
      </c>
      <c r="C64" t="s">
        <v>190</v>
      </c>
      <c r="D64" t="s">
        <v>191</v>
      </c>
      <c r="E64" t="s">
        <v>192</v>
      </c>
      <c r="F64" t="s">
        <v>193</v>
      </c>
      <c r="G64" t="s">
        <v>193</v>
      </c>
      <c r="H64" t="str" cm="1">
        <f t="array" ref="H64">_xlfn.LET(
_xlpm.raw,TRIM(IF(G64&lt;&gt;"",G64,F64)),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3362 W. Marlene St.</v>
      </c>
      <c r="I64" t="str" cm="1">
        <f t="array" ref="I64">_xlfn.LET(
_xlpm.raw,TRIM(IF(G64&lt;&gt;"",G64,F64)),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64" t="str">
        <f t="shared" si="0"/>
        <v>AZ</v>
      </c>
      <c r="K64" t="str" cm="1">
        <f t="array" ref="K64">_xlfn.LET(
_xlpm.raw,TRIM(IF(G64&lt;&gt;"",G64,F64)),
_xlpm.digits,_xlfn.TEXTJOIN("",TRUE,IFERROR(MID(_xlpm.raw,_xlfn.SEQUENCE(LEN(_xlpm.raw)),1)*1,"")),
RIGHT(_xlpm.digits,5)
)</f>
        <v>85741</v>
      </c>
      <c r="L64" t="s">
        <v>194</v>
      </c>
      <c r="M64">
        <v>369</v>
      </c>
      <c r="N64" s="1">
        <f t="shared" si="1"/>
        <v>664.2</v>
      </c>
      <c r="O64" s="1">
        <f t="shared" si="2"/>
        <v>553.5</v>
      </c>
      <c r="P64" s="1">
        <f t="shared" si="3"/>
        <v>479.7</v>
      </c>
      <c r="Q64" s="1">
        <f t="shared" si="4"/>
        <v>461.25</v>
      </c>
      <c r="R64" s="1">
        <f t="shared" si="5"/>
        <v>365.31</v>
      </c>
      <c r="S64" t="s">
        <v>195</v>
      </c>
      <c r="T64">
        <v>8</v>
      </c>
    </row>
    <row r="65" spans="1:20" x14ac:dyDescent="0.25">
      <c r="A65" t="s">
        <v>196</v>
      </c>
      <c r="B65" t="str" cm="1">
        <f t="array" ref="B65">_xlfn.LET(
_xlpm.raw,C65,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5204885763</v>
      </c>
      <c r="C65" t="s">
        <v>197</v>
      </c>
      <c r="D65" t="s">
        <v>198</v>
      </c>
      <c r="E65" t="s">
        <v>199</v>
      </c>
      <c r="F65" t="s">
        <v>200</v>
      </c>
      <c r="G65" t="s">
        <v>200</v>
      </c>
      <c r="H65" t="str" cm="1">
        <f t="array" ref="H65">_xlfn.LET(
_xlpm.raw,TRIM(IF(G65&lt;&gt;"",G65,F65)),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7660 N. Bellweather Dr.</v>
      </c>
      <c r="I65" t="str" cm="1">
        <f t="array" ref="I65">_xlfn.LET(
_xlpm.raw,TRIM(IF(G65&lt;&gt;"",G65,F65)),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65" t="str">
        <f t="shared" si="0"/>
        <v>AZ</v>
      </c>
      <c r="K65" t="str" cm="1">
        <f t="array" ref="K65">_xlfn.LET(
_xlpm.raw,TRIM(IF(G65&lt;&gt;"",G65,F65)),
_xlpm.digits,_xlfn.TEXTJOIN("",TRUE,IFERROR(MID(_xlpm.raw,_xlfn.SEQUENCE(LEN(_xlpm.raw)),1)*1,"")),
RIGHT(_xlpm.digits,5)
)</f>
        <v>85743</v>
      </c>
      <c r="L65" t="s">
        <v>194</v>
      </c>
      <c r="M65">
        <v>369</v>
      </c>
      <c r="N65" s="1">
        <f t="shared" ref="N65:N113" si="6">M65*1.8</f>
        <v>664.2</v>
      </c>
      <c r="O65" s="1">
        <f t="shared" ref="O65:O113" si="7">M65*1.5</f>
        <v>553.5</v>
      </c>
      <c r="P65" s="1">
        <f t="shared" ref="P65:P113" si="8">M65*1.3</f>
        <v>479.7</v>
      </c>
      <c r="Q65" s="1">
        <f t="shared" ref="Q65:Q113" si="9">M65*1.25</f>
        <v>461.25</v>
      </c>
      <c r="R65" s="1">
        <f t="shared" ref="R65:R113" si="10">M65*0.99</f>
        <v>365.31</v>
      </c>
      <c r="S65" t="s">
        <v>195</v>
      </c>
      <c r="T65">
        <v>8</v>
      </c>
    </row>
    <row r="66" spans="1:20" x14ac:dyDescent="0.25">
      <c r="A66" t="s">
        <v>201</v>
      </c>
      <c r="B66" t="str" cm="1">
        <f t="array" ref="B66">_xlfn.LET(
_xlpm.raw,C66,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5807473145</v>
      </c>
      <c r="C66" t="s">
        <v>202</v>
      </c>
      <c r="D66" t="s">
        <v>203</v>
      </c>
      <c r="E66" t="s">
        <v>204</v>
      </c>
      <c r="F66" t="s">
        <v>205</v>
      </c>
      <c r="G66" t="s">
        <v>205</v>
      </c>
      <c r="H66" t="str" cm="1">
        <f t="array" ref="H66">_xlfn.LET(
_xlpm.raw,TRIM(IF(G66&lt;&gt;"",G66,F66)),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7604 E. Shadybrook Ln</v>
      </c>
      <c r="I66" t="str" cm="1">
        <f t="array" ref="I66">_xlfn.LET(
_xlpm.raw,TRIM(IF(G66&lt;&gt;"",G66,F66)),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66" t="str">
        <f t="shared" si="0"/>
        <v>AZ</v>
      </c>
      <c r="K66" t="str" cm="1">
        <f t="array" ref="K66">_xlfn.LET(
_xlpm.raw,TRIM(IF(G66&lt;&gt;"",G66,F66)),
_xlpm.digits,_xlfn.TEXTJOIN("",TRUE,IFERROR(MID(_xlpm.raw,_xlfn.SEQUENCE(LEN(_xlpm.raw)),1)*1,"")),
RIGHT(_xlpm.digits,5)
)</f>
        <v>85756</v>
      </c>
      <c r="L66" t="s">
        <v>76</v>
      </c>
      <c r="M66" t="s">
        <v>77</v>
      </c>
      <c r="N66" s="1">
        <f t="shared" si="6"/>
        <v>1242</v>
      </c>
      <c r="O66" s="1">
        <f t="shared" si="7"/>
        <v>1035</v>
      </c>
      <c r="P66" s="1">
        <f t="shared" si="8"/>
        <v>897</v>
      </c>
      <c r="Q66" s="1">
        <f t="shared" si="9"/>
        <v>862.5</v>
      </c>
      <c r="R66" s="1">
        <f t="shared" si="10"/>
        <v>683.1</v>
      </c>
      <c r="S66" t="s">
        <v>78</v>
      </c>
      <c r="T66">
        <v>8</v>
      </c>
    </row>
    <row r="67" spans="1:20" x14ac:dyDescent="0.25">
      <c r="A67" t="s">
        <v>213</v>
      </c>
      <c r="B67">
        <v>5206640929</v>
      </c>
      <c r="C67" t="s">
        <v>214</v>
      </c>
      <c r="D67" t="s">
        <v>215</v>
      </c>
      <c r="E67" t="s">
        <v>216</v>
      </c>
      <c r="F67" t="s">
        <v>217</v>
      </c>
      <c r="G67" t="s">
        <v>217</v>
      </c>
      <c r="H67" t="str" cm="1">
        <f t="array" ref="H67">_xlfn.LET(
_xlpm.raw,TRIM(IF(G67&lt;&gt;"",G67,F67)),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9281 S. Winter Wood Rd.</v>
      </c>
      <c r="I67" t="str" cm="1">
        <f t="array" ref="I67">_xlfn.LET(
_xlpm.raw,TRIM(IF(G67&lt;&gt;"",G67,F67)),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67" t="str">
        <f t="shared" ref="J67:J114" si="11">_xlfn.LET(
_xlpm.raw,TRIM(IF(G67&lt;&gt;"",G67,F67)),
IF(ISNUMBER(SEARCH(" AZ ", " "&amp;_xlpm.raw&amp;" ")),"AZ","AZ")
)</f>
        <v>AZ</v>
      </c>
      <c r="K67" t="str" cm="1">
        <f t="array" ref="K67">_xlfn.LET(
_xlpm.raw,TRIM(IF(G67&lt;&gt;"",G67,F67)),
_xlpm.digits,_xlfn.TEXTJOIN("",TRUE,IFERROR(MID(_xlpm.raw,_xlfn.SEQUENCE(LEN(_xlpm.raw)),1)*1,"")),
RIGHT(_xlpm.digits,5)
)</f>
        <v>85756</v>
      </c>
      <c r="L67" t="s">
        <v>218</v>
      </c>
      <c r="M67" t="s">
        <v>219</v>
      </c>
      <c r="N67" s="1">
        <f t="shared" si="6"/>
        <v>990</v>
      </c>
      <c r="O67" s="1">
        <f t="shared" si="7"/>
        <v>825</v>
      </c>
      <c r="P67" s="1">
        <f t="shared" si="8"/>
        <v>715</v>
      </c>
      <c r="Q67" s="1">
        <f t="shared" si="9"/>
        <v>687.5</v>
      </c>
      <c r="R67" s="1">
        <f t="shared" si="10"/>
        <v>544.5</v>
      </c>
      <c r="S67" t="s">
        <v>220</v>
      </c>
      <c r="T67">
        <v>8</v>
      </c>
    </row>
    <row r="68" spans="1:20" x14ac:dyDescent="0.25">
      <c r="A68" t="s">
        <v>221</v>
      </c>
      <c r="B68">
        <v>5207449431</v>
      </c>
      <c r="C68" t="s">
        <v>222</v>
      </c>
      <c r="D68" t="s">
        <v>223</v>
      </c>
      <c r="E68" t="s">
        <v>224</v>
      </c>
      <c r="F68" t="s">
        <v>225</v>
      </c>
      <c r="H68" t="str" cm="1">
        <f t="array" ref="H68">_xlfn.LET(
_xlpm.raw,TRIM(IF(G68&lt;&gt;"",G68,F68)),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5840 N. Bridle Way</v>
      </c>
      <c r="I68" t="str" cm="1">
        <f t="array" ref="I68">_xlfn.LET(
_xlpm.raw,TRIM(IF(G68&lt;&gt;"",G68,F68)),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68" t="str">
        <f t="shared" si="11"/>
        <v>AZ</v>
      </c>
      <c r="K68" t="str" cm="1">
        <f t="array" ref="K68">_xlfn.LET(
_xlpm.raw,TRIM(IF(G68&lt;&gt;"",G68,F68)),
_xlpm.digits,_xlfn.TEXTJOIN("",TRUE,IFERROR(MID(_xlpm.raw,_xlfn.SEQUENCE(LEN(_xlpm.raw)),1)*1,"")),
RIGHT(_xlpm.digits,5)
)</f>
        <v>85743</v>
      </c>
      <c r="L68" t="s">
        <v>226</v>
      </c>
      <c r="M68" t="s">
        <v>61</v>
      </c>
      <c r="N68" s="1">
        <f t="shared" si="6"/>
        <v>540</v>
      </c>
      <c r="O68" s="1">
        <f t="shared" si="7"/>
        <v>450</v>
      </c>
      <c r="P68" s="1">
        <f t="shared" si="8"/>
        <v>390</v>
      </c>
      <c r="Q68" s="1">
        <f t="shared" si="9"/>
        <v>375</v>
      </c>
      <c r="R68" s="1">
        <f t="shared" si="10"/>
        <v>297</v>
      </c>
      <c r="S68" t="s">
        <v>227</v>
      </c>
      <c r="T68">
        <v>8</v>
      </c>
    </row>
    <row r="69" spans="1:20" x14ac:dyDescent="0.25">
      <c r="A69" t="s">
        <v>228</v>
      </c>
      <c r="B69">
        <v>5202812282</v>
      </c>
      <c r="C69" t="s">
        <v>229</v>
      </c>
      <c r="D69" t="s">
        <v>230</v>
      </c>
      <c r="E69" t="s">
        <v>231</v>
      </c>
      <c r="F69" t="s">
        <v>232</v>
      </c>
      <c r="G69" t="s">
        <v>232</v>
      </c>
      <c r="H69" t="str" cm="1">
        <f t="array" ref="H69">_xlfn.LET(
_xlpm.raw,TRIM(IF(G69&lt;&gt;"",G69,F69)),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1023 Pendleton Rio Rico</v>
      </c>
      <c r="I69" t="s">
        <v>783</v>
      </c>
      <c r="J69" t="str">
        <f t="shared" si="11"/>
        <v>AZ</v>
      </c>
      <c r="K69" t="str" cm="1">
        <f t="array" ref="K69">_xlfn.LET(
_xlpm.raw,TRIM(IF(G69&lt;&gt;"",G69,F69)),
_xlpm.digits,_xlfn.TEXTJOIN("",TRUE,IFERROR(MID(_xlpm.raw,_xlfn.SEQUENCE(LEN(_xlpm.raw)),1)*1,"")),
RIGHT(_xlpm.digits,5)
)</f>
        <v>85648</v>
      </c>
      <c r="L69" t="s">
        <v>233</v>
      </c>
      <c r="M69" t="s">
        <v>88</v>
      </c>
      <c r="N69" s="1">
        <f t="shared" si="6"/>
        <v>1188</v>
      </c>
      <c r="O69" s="1">
        <f t="shared" si="7"/>
        <v>990</v>
      </c>
      <c r="P69" s="1">
        <f t="shared" si="8"/>
        <v>858</v>
      </c>
      <c r="Q69" s="1">
        <f t="shared" si="9"/>
        <v>825</v>
      </c>
      <c r="R69" s="1">
        <f t="shared" si="10"/>
        <v>653.4</v>
      </c>
      <c r="S69" t="s">
        <v>234</v>
      </c>
      <c r="T69">
        <v>8</v>
      </c>
    </row>
    <row r="70" spans="1:20" x14ac:dyDescent="0.25">
      <c r="A70" t="s">
        <v>235</v>
      </c>
      <c r="B70" t="str" cm="1">
        <f t="array" ref="B70">_xlfn.LET(
_xlpm.raw,C70,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5208853086</v>
      </c>
      <c r="C70" t="s">
        <v>236</v>
      </c>
      <c r="D70" t="s">
        <v>237</v>
      </c>
      <c r="E70" t="s">
        <v>238</v>
      </c>
      <c r="F70" t="s">
        <v>239</v>
      </c>
      <c r="G70" t="s">
        <v>239</v>
      </c>
      <c r="H70" t="str" cm="1">
        <f t="array" ref="H70">_xlfn.LET(
_xlpm.raw,TRIM(IF(G70&lt;&gt;"",G70,F70)),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1949 N. Fountain Park Dr.</v>
      </c>
      <c r="I70" t="str" cm="1">
        <f t="array" ref="I70">_xlfn.LET(
_xlpm.raw,TRIM(IF(G70&lt;&gt;"",G70,F70)),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70" t="str">
        <f t="shared" si="11"/>
        <v>AZ</v>
      </c>
      <c r="K70" t="str" cm="1">
        <f t="array" ref="K70">_xlfn.LET(
_xlpm.raw,TRIM(IF(G70&lt;&gt;"",G70,F70)),
_xlpm.digits,_xlfn.TEXTJOIN("",TRUE,IFERROR(MID(_xlpm.raw,_xlfn.SEQUENCE(LEN(_xlpm.raw)),1)*1,"")),
RIGHT(_xlpm.digits,5)
)</f>
        <v>85715</v>
      </c>
      <c r="L70" t="s">
        <v>160</v>
      </c>
      <c r="N70" s="1">
        <f t="shared" si="6"/>
        <v>0</v>
      </c>
      <c r="O70" s="1">
        <f t="shared" si="7"/>
        <v>0</v>
      </c>
      <c r="P70" s="1">
        <f t="shared" si="8"/>
        <v>0</v>
      </c>
      <c r="Q70" s="1">
        <f t="shared" si="9"/>
        <v>0</v>
      </c>
      <c r="R70" s="1">
        <f t="shared" si="10"/>
        <v>0</v>
      </c>
      <c r="S70" t="s">
        <v>240</v>
      </c>
      <c r="T70">
        <v>8</v>
      </c>
    </row>
    <row r="71" spans="1:20" x14ac:dyDescent="0.25">
      <c r="A71" t="s">
        <v>242</v>
      </c>
      <c r="B71" t="str" cm="1">
        <f t="array" ref="B71">_xlfn.LET(
_xlpm.raw,C71,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5205294627</v>
      </c>
      <c r="C71" t="s">
        <v>243</v>
      </c>
      <c r="D71" t="s">
        <v>244</v>
      </c>
      <c r="E71" t="s">
        <v>245</v>
      </c>
      <c r="F71" t="s">
        <v>246</v>
      </c>
      <c r="G71" t="s">
        <v>246</v>
      </c>
      <c r="H71" t="str" cm="1">
        <f t="array" ref="H71">_xlfn.LET(
_xlpm.raw,TRIM(IF(G71&lt;&gt;"",G71,F71)),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5722 N. Via Umbrosa</v>
      </c>
      <c r="I71" t="str" cm="1">
        <f t="array" ref="I71">_xlfn.LET(
_xlpm.raw,TRIM(IF(G71&lt;&gt;"",G71,F71)),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71" t="str">
        <f t="shared" si="11"/>
        <v>AZ</v>
      </c>
      <c r="K71" t="str" cm="1">
        <f t="array" ref="K71">_xlfn.LET(
_xlpm.raw,TRIM(IF(G71&lt;&gt;"",G71,F71)),
_xlpm.digits,_xlfn.TEXTJOIN("",TRUE,IFERROR(MID(_xlpm.raw,_xlfn.SEQUENCE(LEN(_xlpm.raw)),1)*1,"")),
RIGHT(_xlpm.digits,5)
)</f>
        <v>85750</v>
      </c>
      <c r="L71" t="s">
        <v>247</v>
      </c>
      <c r="N71" s="1">
        <f t="shared" si="6"/>
        <v>0</v>
      </c>
      <c r="O71" s="1">
        <f t="shared" si="7"/>
        <v>0</v>
      </c>
      <c r="P71" s="1">
        <f t="shared" si="8"/>
        <v>0</v>
      </c>
      <c r="Q71" s="1">
        <f t="shared" si="9"/>
        <v>0</v>
      </c>
      <c r="R71" s="1">
        <f t="shared" si="10"/>
        <v>0</v>
      </c>
      <c r="S71" t="s">
        <v>248</v>
      </c>
      <c r="T71">
        <v>8</v>
      </c>
    </row>
    <row r="72" spans="1:20" x14ac:dyDescent="0.25">
      <c r="A72" t="s">
        <v>249</v>
      </c>
      <c r="B72" t="str" cm="1">
        <f t="array" ref="B72">_xlfn.LET(
_xlpm.raw,C72,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5205774711</v>
      </c>
      <c r="C72" t="s">
        <v>250</v>
      </c>
      <c r="D72" t="s">
        <v>251</v>
      </c>
      <c r="E72" t="s">
        <v>252</v>
      </c>
      <c r="F72" t="s">
        <v>253</v>
      </c>
      <c r="H72" t="str" cm="1">
        <f t="array" ref="H72">_xlfn.LET(
_xlpm.raw,TRIM(IF(G72&lt;&gt;"",G72,F72)),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5556 N. Via Girasol</v>
      </c>
      <c r="I72" t="str" cm="1">
        <f t="array" ref="I72">_xlfn.LET(
_xlpm.raw,TRIM(IF(G72&lt;&gt;"",G72,F72)),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72" t="str">
        <f t="shared" si="11"/>
        <v>AZ</v>
      </c>
      <c r="K72" t="str" cm="1">
        <f t="array" ref="K72">_xlfn.LET(
_xlpm.raw,TRIM(IF(G72&lt;&gt;"",G72,F72)),
_xlpm.digits,_xlfn.TEXTJOIN("",TRUE,IFERROR(MID(_xlpm.raw,_xlfn.SEQUENCE(LEN(_xlpm.raw)),1)*1,"")),
RIGHT(_xlpm.digits,5)
)</f>
        <v>85750</v>
      </c>
      <c r="L72" t="s">
        <v>254</v>
      </c>
      <c r="N72" s="1">
        <f t="shared" si="6"/>
        <v>0</v>
      </c>
      <c r="O72" s="1">
        <f t="shared" si="7"/>
        <v>0</v>
      </c>
      <c r="P72" s="1">
        <f t="shared" si="8"/>
        <v>0</v>
      </c>
      <c r="Q72" s="1">
        <f t="shared" si="9"/>
        <v>0</v>
      </c>
      <c r="R72" s="1">
        <f t="shared" si="10"/>
        <v>0</v>
      </c>
      <c r="S72" t="s">
        <v>255</v>
      </c>
      <c r="T72">
        <v>8</v>
      </c>
    </row>
    <row r="73" spans="1:20" x14ac:dyDescent="0.25">
      <c r="A73" t="s">
        <v>284</v>
      </c>
      <c r="B73" t="str" cm="1">
        <f t="array" ref="B73">_xlfn.LET(
_xlpm.raw,C73,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5204004202</v>
      </c>
      <c r="C73" t="s">
        <v>285</v>
      </c>
      <c r="D73" t="s">
        <v>286</v>
      </c>
      <c r="E73" t="s">
        <v>287</v>
      </c>
      <c r="F73" t="s">
        <v>288</v>
      </c>
      <c r="G73" t="s">
        <v>288</v>
      </c>
      <c r="H73" t="str" cm="1">
        <f t="array" ref="H73">_xlfn.LET(
_xlpm.raw,TRIM(IF(G73&lt;&gt;"",G73,F73)),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8911 N. Mocha Place</v>
      </c>
      <c r="I73" t="str" cm="1">
        <f t="array" ref="I73">_xlfn.LET(
_xlpm.raw,TRIM(IF(G73&lt;&gt;"",G73,F73)),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73" t="str">
        <f t="shared" si="11"/>
        <v>AZ</v>
      </c>
      <c r="K73" t="str" cm="1">
        <f t="array" ref="K73">_xlfn.LET(
_xlpm.raw,TRIM(IF(G73&lt;&gt;"",G73,F73)),
_xlpm.digits,_xlfn.TEXTJOIN("",TRUE,IFERROR(MID(_xlpm.raw,_xlfn.SEQUENCE(LEN(_xlpm.raw)),1)*1,"")),
RIGHT(_xlpm.digits,5)
)</f>
        <v>85743</v>
      </c>
      <c r="L73" t="s">
        <v>289</v>
      </c>
      <c r="N73" s="1">
        <f t="shared" si="6"/>
        <v>0</v>
      </c>
      <c r="O73" s="1">
        <f t="shared" si="7"/>
        <v>0</v>
      </c>
      <c r="P73" s="1">
        <f t="shared" si="8"/>
        <v>0</v>
      </c>
      <c r="Q73" s="1">
        <f t="shared" si="9"/>
        <v>0</v>
      </c>
      <c r="R73" s="1">
        <f t="shared" si="10"/>
        <v>0</v>
      </c>
      <c r="S73" t="s">
        <v>290</v>
      </c>
      <c r="T73">
        <v>8</v>
      </c>
    </row>
    <row r="74" spans="1:20" x14ac:dyDescent="0.25">
      <c r="A74" t="s">
        <v>291</v>
      </c>
      <c r="B74" t="str" cm="1">
        <f t="array" ref="B74">_xlfn.LET(
_xlpm.raw,C74,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5205741040</v>
      </c>
      <c r="C74" t="s">
        <v>292</v>
      </c>
      <c r="D74" t="s">
        <v>293</v>
      </c>
      <c r="E74" t="s">
        <v>294</v>
      </c>
      <c r="F74" t="s">
        <v>295</v>
      </c>
      <c r="G74" t="s">
        <v>295</v>
      </c>
      <c r="H74" t="str" cm="1">
        <f t="array" ref="H74">_xlfn.LET(
_xlpm.raw,TRIM(IF(G74&lt;&gt;"",G74,F74)),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7133 E. Maritime Dr.</v>
      </c>
      <c r="I74" t="str" cm="1">
        <f t="array" ref="I74">_xlfn.LET(
_xlpm.raw,TRIM(IF(G74&lt;&gt;"",G74,F74)),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74" t="str">
        <f t="shared" si="11"/>
        <v>AZ</v>
      </c>
      <c r="K74" t="str" cm="1">
        <f t="array" ref="K74">_xlfn.LET(
_xlpm.raw,TRIM(IF(G74&lt;&gt;"",G74,F74)),
_xlpm.digits,_xlfn.TEXTJOIN("",TRUE,IFERROR(MID(_xlpm.raw,_xlfn.SEQUENCE(LEN(_xlpm.raw)),1)*1,"")),
RIGHT(_xlpm.digits,5)
)</f>
        <v>85756</v>
      </c>
      <c r="L74" t="s">
        <v>87</v>
      </c>
      <c r="M74" t="s">
        <v>211</v>
      </c>
      <c r="N74" s="1">
        <f t="shared" si="6"/>
        <v>1107</v>
      </c>
      <c r="O74" s="1">
        <f t="shared" si="7"/>
        <v>922.5</v>
      </c>
      <c r="P74" s="1">
        <f t="shared" si="8"/>
        <v>799.5</v>
      </c>
      <c r="Q74" s="1">
        <f t="shared" si="9"/>
        <v>768.75</v>
      </c>
      <c r="R74" s="1">
        <f t="shared" si="10"/>
        <v>608.85</v>
      </c>
      <c r="S74" t="s">
        <v>212</v>
      </c>
      <c r="T74">
        <v>8</v>
      </c>
    </row>
    <row r="75" spans="1:20" x14ac:dyDescent="0.25">
      <c r="A75" t="s">
        <v>303</v>
      </c>
      <c r="B75" t="str" cm="1">
        <f t="array" ref="B75">_xlfn.LET(
_xlpm.raw,C75,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5203964299</v>
      </c>
      <c r="C75" t="s">
        <v>304</v>
      </c>
      <c r="E75" t="s">
        <v>305</v>
      </c>
      <c r="F75" t="s">
        <v>306</v>
      </c>
      <c r="G75" t="s">
        <v>306</v>
      </c>
      <c r="H75" t="str" cm="1">
        <f t="array" ref="H75">_xlfn.LET(
_xlpm.raw,TRIM(IF(G75&lt;&gt;"",G75,F75)),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7501 E. Lester Circle</v>
      </c>
      <c r="I75" t="str" cm="1">
        <f t="array" ref="I75">_xlfn.LET(
_xlpm.raw,TRIM(IF(G75&lt;&gt;"",G75,F75)),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75" t="str">
        <f t="shared" si="11"/>
        <v>AZ</v>
      </c>
      <c r="K75" t="str" cm="1">
        <f t="array" ref="K75">_xlfn.LET(
_xlpm.raw,TRIM(IF(G75&lt;&gt;"",G75,F75)),
_xlpm.digits,_xlfn.TEXTJOIN("",TRUE,IFERROR(MID(_xlpm.raw,_xlfn.SEQUENCE(LEN(_xlpm.raw)),1)*1,"")),
RIGHT(_xlpm.digits,5)
)</f>
        <v>85715</v>
      </c>
      <c r="L75" t="s">
        <v>281</v>
      </c>
      <c r="N75" s="1">
        <f t="shared" si="6"/>
        <v>0</v>
      </c>
      <c r="O75" s="1">
        <f t="shared" si="7"/>
        <v>0</v>
      </c>
      <c r="P75" s="1">
        <f t="shared" si="8"/>
        <v>0</v>
      </c>
      <c r="Q75" s="1">
        <f t="shared" si="9"/>
        <v>0</v>
      </c>
      <c r="R75" s="1">
        <f t="shared" si="10"/>
        <v>0</v>
      </c>
      <c r="S75" t="s">
        <v>307</v>
      </c>
      <c r="T75">
        <v>8</v>
      </c>
    </row>
    <row r="76" spans="1:20" x14ac:dyDescent="0.25">
      <c r="A76" t="s">
        <v>308</v>
      </c>
      <c r="B76">
        <v>5207909824</v>
      </c>
      <c r="C76" t="s">
        <v>309</v>
      </c>
      <c r="D76" t="s">
        <v>310</v>
      </c>
      <c r="E76" t="s">
        <v>311</v>
      </c>
      <c r="F76" t="s">
        <v>312</v>
      </c>
      <c r="G76" t="s">
        <v>312</v>
      </c>
      <c r="H76" t="str" cm="1">
        <f t="array" ref="H76">_xlfn.LET(
_xlpm.raw,TRIM(IF(G76&lt;&gt;"",G76,F76)),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1401 S. Dakota Sky Court</v>
      </c>
      <c r="I76" t="str" cm="1">
        <f t="array" ref="I76">_xlfn.LET(
_xlpm.raw,TRIM(IF(G76&lt;&gt;"",G76,F76)),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76" t="str">
        <f t="shared" si="11"/>
        <v>AZ</v>
      </c>
      <c r="K76" t="str" cm="1">
        <f t="array" ref="K76">_xlfn.LET(
_xlpm.raw,TRIM(IF(G76&lt;&gt;"",G76,F76)),
_xlpm.digits,_xlfn.TEXTJOIN("",TRUE,IFERROR(MID(_xlpm.raw,_xlfn.SEQUENCE(LEN(_xlpm.raw)),1)*1,"")),
RIGHT(_xlpm.digits,5)
)</f>
        <v>85748</v>
      </c>
      <c r="L76" t="s">
        <v>313</v>
      </c>
      <c r="M76" t="s">
        <v>61</v>
      </c>
      <c r="N76" s="1">
        <f t="shared" si="6"/>
        <v>540</v>
      </c>
      <c r="O76" s="1">
        <f t="shared" si="7"/>
        <v>450</v>
      </c>
      <c r="P76" s="1">
        <f t="shared" si="8"/>
        <v>390</v>
      </c>
      <c r="Q76" s="1">
        <f t="shared" si="9"/>
        <v>375</v>
      </c>
      <c r="R76" s="1">
        <f t="shared" si="10"/>
        <v>297</v>
      </c>
      <c r="S76" t="s">
        <v>314</v>
      </c>
      <c r="T76">
        <v>8</v>
      </c>
    </row>
    <row r="77" spans="1:20" x14ac:dyDescent="0.25">
      <c r="A77" t="s">
        <v>315</v>
      </c>
      <c r="B77">
        <v>5204041775</v>
      </c>
      <c r="C77" t="s">
        <v>316</v>
      </c>
      <c r="D77" t="s">
        <v>317</v>
      </c>
      <c r="E77" t="s">
        <v>318</v>
      </c>
      <c r="F77" t="s">
        <v>319</v>
      </c>
      <c r="H77" t="str" cm="1">
        <f t="array" ref="H77">_xlfn.LET(
_xlpm.raw,TRIM(IF(G77&lt;&gt;"",G77,F77)),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12608 N. Sleeping Coyote Dr.</v>
      </c>
      <c r="I77" t="str" cm="1">
        <f t="array" ref="I77">_xlfn.LET(
_xlpm.raw,TRIM(IF(G77&lt;&gt;"",G77,F77)),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Oro Valley</v>
      </c>
      <c r="J77" t="str">
        <f t="shared" si="11"/>
        <v>AZ</v>
      </c>
      <c r="K77" t="str" cm="1">
        <f t="array" ref="K77">_xlfn.LET(
_xlpm.raw,TRIM(IF(G77&lt;&gt;"",G77,F77)),
_xlpm.digits,_xlfn.TEXTJOIN("",TRUE,IFERROR(MID(_xlpm.raw,_xlfn.SEQUENCE(LEN(_xlpm.raw)),1)*1,"")),
RIGHT(_xlpm.digits,5)
)</f>
        <v>85755</v>
      </c>
      <c r="L77" t="s">
        <v>320</v>
      </c>
      <c r="M77" t="s">
        <v>321</v>
      </c>
      <c r="N77" s="1">
        <f t="shared" si="6"/>
        <v>837</v>
      </c>
      <c r="O77" s="1">
        <f t="shared" si="7"/>
        <v>697.5</v>
      </c>
      <c r="P77" s="1">
        <f t="shared" si="8"/>
        <v>604.5</v>
      </c>
      <c r="Q77" s="1">
        <f t="shared" si="9"/>
        <v>581.25</v>
      </c>
      <c r="R77" s="1">
        <f t="shared" si="10"/>
        <v>460.35</v>
      </c>
      <c r="S77" t="s">
        <v>322</v>
      </c>
      <c r="T77">
        <v>8</v>
      </c>
    </row>
    <row r="78" spans="1:20" x14ac:dyDescent="0.25">
      <c r="A78" t="s">
        <v>323</v>
      </c>
      <c r="B78" t="str" cm="1">
        <f t="array" ref="B78">_xlfn.LET(
_xlpm.raw,C78,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5203070588</v>
      </c>
      <c r="C78" t="s">
        <v>324</v>
      </c>
      <c r="D78" t="s">
        <v>325</v>
      </c>
      <c r="E78" t="s">
        <v>326</v>
      </c>
      <c r="F78" t="s">
        <v>327</v>
      </c>
      <c r="H78" t="str" cm="1">
        <f t="array" ref="H78">_xlfn.LET(
_xlpm.raw,TRIM(IF(G78&lt;&gt;"",G78,F78)),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2821 E. 3rd St.</v>
      </c>
      <c r="I78" t="str" cm="1">
        <f t="array" ref="I78">_xlfn.LET(
_xlpm.raw,TRIM(IF(G78&lt;&gt;"",G78,F78)),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78" t="str">
        <f t="shared" si="11"/>
        <v>AZ</v>
      </c>
      <c r="K78" t="str" cm="1">
        <f t="array" ref="K78">_xlfn.LET(
_xlpm.raw,TRIM(IF(G78&lt;&gt;"",G78,F78)),
_xlpm.digits,_xlfn.TEXTJOIN("",TRUE,IFERROR(MID(_xlpm.raw,_xlfn.SEQUENCE(LEN(_xlpm.raw)),1)*1,"")),
RIGHT(_xlpm.digits,5)
)</f>
        <v>85716</v>
      </c>
      <c r="L78" t="s">
        <v>328</v>
      </c>
      <c r="M78" t="s">
        <v>147</v>
      </c>
      <c r="N78" s="1">
        <f t="shared" si="6"/>
        <v>810</v>
      </c>
      <c r="O78" s="1">
        <f t="shared" si="7"/>
        <v>675</v>
      </c>
      <c r="P78" s="1">
        <f t="shared" si="8"/>
        <v>585</v>
      </c>
      <c r="Q78" s="1">
        <f t="shared" si="9"/>
        <v>562.5</v>
      </c>
      <c r="R78" s="1">
        <f t="shared" si="10"/>
        <v>445.5</v>
      </c>
      <c r="S78" t="s">
        <v>329</v>
      </c>
      <c r="T78">
        <v>8</v>
      </c>
    </row>
    <row r="79" spans="1:20" x14ac:dyDescent="0.25">
      <c r="A79" t="s">
        <v>345</v>
      </c>
      <c r="B79" t="str" cm="1">
        <f t="array" ref="B79">_xlfn.LET(
_xlpm.raw,C79,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5202505671</v>
      </c>
      <c r="C79" t="s">
        <v>346</v>
      </c>
      <c r="D79" t="s">
        <v>347</v>
      </c>
      <c r="E79" t="s">
        <v>348</v>
      </c>
      <c r="F79" t="s">
        <v>349</v>
      </c>
      <c r="G79" t="s">
        <v>349</v>
      </c>
      <c r="H79" t="str" cm="1">
        <f t="array" ref="H79">_xlfn.LET(
_xlpm.raw,TRIM(IF(G79&lt;&gt;"",G79,F79)),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1294 S. Paseo Luna Blanca</v>
      </c>
      <c r="I79" t="str" cm="1">
        <f t="array" ref="I79">_xlfn.LET(
_xlpm.raw,TRIM(IF(G79&lt;&gt;"",G79,F79)),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79" t="str">
        <f t="shared" si="11"/>
        <v>AZ</v>
      </c>
      <c r="K79" t="str" cm="1">
        <f t="array" ref="K79">_xlfn.LET(
_xlpm.raw,TRIM(IF(G79&lt;&gt;"",G79,F79)),
_xlpm.digits,_xlfn.TEXTJOIN("",TRUE,IFERROR(MID(_xlpm.raw,_xlfn.SEQUENCE(LEN(_xlpm.raw)),1)*1,"")),
RIGHT(_xlpm.digits,5)
)</f>
        <v>85713</v>
      </c>
      <c r="L79" t="s">
        <v>350</v>
      </c>
      <c r="N79" s="1">
        <f t="shared" si="6"/>
        <v>0</v>
      </c>
      <c r="O79" s="1">
        <f t="shared" si="7"/>
        <v>0</v>
      </c>
      <c r="P79" s="1">
        <f t="shared" si="8"/>
        <v>0</v>
      </c>
      <c r="Q79" s="1">
        <f t="shared" si="9"/>
        <v>0</v>
      </c>
      <c r="R79" s="1">
        <f t="shared" si="10"/>
        <v>0</v>
      </c>
      <c r="S79" t="s">
        <v>351</v>
      </c>
      <c r="T79">
        <v>8</v>
      </c>
    </row>
    <row r="80" spans="1:20" x14ac:dyDescent="0.25">
      <c r="A80" t="s">
        <v>365</v>
      </c>
      <c r="B80" t="str" cm="1">
        <f t="array" ref="B80">_xlfn.LET(
_xlpm.raw,C80,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5204197841</v>
      </c>
      <c r="C80" t="s">
        <v>366</v>
      </c>
      <c r="D80" t="s">
        <v>367</v>
      </c>
      <c r="E80" t="s">
        <v>368</v>
      </c>
      <c r="F80" t="s">
        <v>369</v>
      </c>
      <c r="G80" t="s">
        <v>369</v>
      </c>
      <c r="H80" t="str" cm="1">
        <f t="array" ref="H80">_xlfn.LET(
_xlpm.raw,TRIM(IF(G80&lt;&gt;"",G80,F80)),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8421 E. Cresthill Dr.</v>
      </c>
      <c r="I80" t="str" cm="1">
        <f t="array" ref="I80">_xlfn.LET(
_xlpm.raw,TRIM(IF(G80&lt;&gt;"",G80,F80)),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80" t="str">
        <f t="shared" si="11"/>
        <v>AZ</v>
      </c>
      <c r="K80" t="str" cm="1">
        <f t="array" ref="K80">_xlfn.LET(
_xlpm.raw,TRIM(IF(G80&lt;&gt;"",G80,F80)),
_xlpm.digits,_xlfn.TEXTJOIN("",TRUE,IFERROR(MID(_xlpm.raw,_xlfn.SEQUENCE(LEN(_xlpm.raw)),1)*1,"")),
RIGHT(_xlpm.digits,5)
)</f>
        <v>85750</v>
      </c>
      <c r="L80" t="s">
        <v>370</v>
      </c>
      <c r="M80" t="s">
        <v>371</v>
      </c>
      <c r="N80" s="1">
        <f t="shared" si="6"/>
        <v>459</v>
      </c>
      <c r="O80" s="1">
        <f t="shared" si="7"/>
        <v>382.5</v>
      </c>
      <c r="P80" s="1">
        <f t="shared" si="8"/>
        <v>331.5</v>
      </c>
      <c r="Q80" s="1">
        <f t="shared" si="9"/>
        <v>318.75</v>
      </c>
      <c r="R80" s="1">
        <f t="shared" si="10"/>
        <v>252.45</v>
      </c>
      <c r="S80" t="s">
        <v>372</v>
      </c>
      <c r="T80">
        <v>8</v>
      </c>
    </row>
    <row r="81" spans="1:20" x14ac:dyDescent="0.25">
      <c r="A81" t="s">
        <v>257</v>
      </c>
      <c r="B81" t="str" cm="1">
        <f t="array" ref="B81">_xlfn.LET(
_xlpm.raw,C81,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5208860107</v>
      </c>
      <c r="C81" t="s">
        <v>373</v>
      </c>
      <c r="D81" t="s">
        <v>374</v>
      </c>
      <c r="E81" t="s">
        <v>375</v>
      </c>
      <c r="F81" t="s">
        <v>376</v>
      </c>
      <c r="G81" t="s">
        <v>376</v>
      </c>
      <c r="H81" t="str" cm="1">
        <f t="array" ref="H81">_xlfn.LET(
_xlpm.raw,TRIM(IF(G81&lt;&gt;"",G81,F81)),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7243 E. Camino Vecino</v>
      </c>
      <c r="I81" t="str" cm="1">
        <f t="array" ref="I81">_xlfn.LET(
_xlpm.raw,TRIM(IF(G81&lt;&gt;"",G81,F81)),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81" t="str">
        <f t="shared" si="11"/>
        <v>AZ</v>
      </c>
      <c r="K81" t="str" cm="1">
        <f t="array" ref="K81">_xlfn.LET(
_xlpm.raw,TRIM(IF(G81&lt;&gt;"",G81,F81)),
_xlpm.digits,_xlfn.TEXTJOIN("",TRUE,IFERROR(MID(_xlpm.raw,_xlfn.SEQUENCE(LEN(_xlpm.raw)),1)*1,"")),
RIGHT(_xlpm.digits,5)
)</f>
        <v>85715</v>
      </c>
      <c r="L81" t="s">
        <v>258</v>
      </c>
      <c r="M81" t="s">
        <v>259</v>
      </c>
      <c r="N81" s="1">
        <f t="shared" si="6"/>
        <v>936</v>
      </c>
      <c r="O81" s="1">
        <f t="shared" si="7"/>
        <v>780</v>
      </c>
      <c r="P81" s="1">
        <f t="shared" si="8"/>
        <v>676</v>
      </c>
      <c r="Q81" s="1">
        <f t="shared" si="9"/>
        <v>650</v>
      </c>
      <c r="R81" s="1">
        <f t="shared" si="10"/>
        <v>514.79999999999995</v>
      </c>
      <c r="S81" t="s">
        <v>260</v>
      </c>
      <c r="T81">
        <v>8</v>
      </c>
    </row>
    <row r="82" spans="1:20" x14ac:dyDescent="0.25">
      <c r="A82" t="s">
        <v>377</v>
      </c>
      <c r="B82" t="str" cm="1">
        <f t="array" ref="B82">_xlfn.LET(
_xlpm.raw,C82,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5209045575</v>
      </c>
      <c r="C82" t="s">
        <v>378</v>
      </c>
      <c r="E82" t="s">
        <v>379</v>
      </c>
      <c r="F82" t="s">
        <v>380</v>
      </c>
      <c r="G82" t="s">
        <v>380</v>
      </c>
      <c r="H82" t="str" cm="1">
        <f t="array" ref="H82">_xlfn.LET(
_xlpm.raw,TRIM(IF(G82&lt;&gt;"",G82,F82)),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18572 W. Avra Valley Rd</v>
      </c>
      <c r="I82" t="str" cm="1">
        <f t="array" ref="I82">_xlfn.LET(
_xlpm.raw,TRIM(IF(G82&lt;&gt;"",G82,F82)),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Marana</v>
      </c>
      <c r="J82" t="str">
        <f t="shared" si="11"/>
        <v>AZ</v>
      </c>
      <c r="K82" t="str" cm="1">
        <f t="array" ref="K82">_xlfn.LET(
_xlpm.raw,TRIM(IF(G82&lt;&gt;"",G82,F82)),
_xlpm.digits,_xlfn.TEXTJOIN("",TRUE,IFERROR(MID(_xlpm.raw,_xlfn.SEQUENCE(LEN(_xlpm.raw)),1)*1,"")),
RIGHT(_xlpm.digits,5)
)</f>
        <v>85653</v>
      </c>
      <c r="L82" t="s">
        <v>84</v>
      </c>
      <c r="N82" s="1">
        <f t="shared" si="6"/>
        <v>0</v>
      </c>
      <c r="O82" s="1">
        <f t="shared" si="7"/>
        <v>0</v>
      </c>
      <c r="P82" s="1">
        <f t="shared" si="8"/>
        <v>0</v>
      </c>
      <c r="Q82" s="1">
        <f t="shared" si="9"/>
        <v>0</v>
      </c>
      <c r="R82" s="1">
        <f t="shared" si="10"/>
        <v>0</v>
      </c>
      <c r="S82" t="s">
        <v>381</v>
      </c>
      <c r="T82">
        <v>8</v>
      </c>
    </row>
    <row r="83" spans="1:20" x14ac:dyDescent="0.25">
      <c r="A83" t="s">
        <v>382</v>
      </c>
      <c r="B83" t="str" cm="1">
        <f t="array" ref="B83">_xlfn.LET(
_xlpm.raw,C83,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5208919880</v>
      </c>
      <c r="C83" t="s">
        <v>383</v>
      </c>
      <c r="D83" t="s">
        <v>384</v>
      </c>
      <c r="E83" t="s">
        <v>385</v>
      </c>
      <c r="F83" t="s">
        <v>386</v>
      </c>
      <c r="G83" t="s">
        <v>386</v>
      </c>
      <c r="H83" t="str" cm="1">
        <f t="array" ref="H83">_xlfn.LET(
_xlpm.raw,TRIM(IF(G83&lt;&gt;"",G83,F83)),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2540 E. Lomas Dr.</v>
      </c>
      <c r="I83" t="str" cm="1">
        <f t="array" ref="I83">_xlfn.LET(
_xlpm.raw,TRIM(IF(G83&lt;&gt;"",G83,F83)),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Vail</v>
      </c>
      <c r="J83" t="str">
        <f t="shared" si="11"/>
        <v>AZ</v>
      </c>
      <c r="K83" t="str" cm="1">
        <f t="array" ref="K83">_xlfn.LET(
_xlpm.raw,TRIM(IF(G83&lt;&gt;"",G83,F83)),
_xlpm.digits,_xlfn.TEXTJOIN("",TRUE,IFERROR(MID(_xlpm.raw,_xlfn.SEQUENCE(LEN(_xlpm.raw)),1)*1,"")),
RIGHT(_xlpm.digits,5)
)</f>
        <v>85641</v>
      </c>
      <c r="L83" t="s">
        <v>387</v>
      </c>
      <c r="N83" s="1">
        <f t="shared" si="6"/>
        <v>0</v>
      </c>
      <c r="O83" s="1">
        <f t="shared" si="7"/>
        <v>0</v>
      </c>
      <c r="P83" s="1">
        <f t="shared" si="8"/>
        <v>0</v>
      </c>
      <c r="Q83" s="1">
        <f t="shared" si="9"/>
        <v>0</v>
      </c>
      <c r="R83" s="1">
        <f t="shared" si="10"/>
        <v>0</v>
      </c>
      <c r="S83" t="s">
        <v>388</v>
      </c>
      <c r="T83">
        <v>8</v>
      </c>
    </row>
    <row r="84" spans="1:20" x14ac:dyDescent="0.25">
      <c r="A84" t="s">
        <v>412</v>
      </c>
      <c r="B84" t="str" cm="1">
        <f t="array" ref="B84">_xlfn.LET(
_xlpm.raw,C84,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5203016820</v>
      </c>
      <c r="C84" t="s">
        <v>413</v>
      </c>
      <c r="D84" t="s">
        <v>414</v>
      </c>
      <c r="E84" t="s">
        <v>415</v>
      </c>
      <c r="F84" t="s">
        <v>416</v>
      </c>
      <c r="G84" t="s">
        <v>416</v>
      </c>
      <c r="H84" t="str" cm="1">
        <f t="array" ref="H84">_xlfn.LET(
_xlpm.raw,TRIM(IF(G84&lt;&gt;"",G84,F84)),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6572 W. Whispering Windmill Lane</v>
      </c>
      <c r="I84" t="str" cm="1">
        <f t="array" ref="I84">_xlfn.LET(
_xlpm.raw,TRIM(IF(G84&lt;&gt;"",G84,F84)),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Marana</v>
      </c>
      <c r="J84" t="str">
        <f t="shared" si="11"/>
        <v>AZ</v>
      </c>
      <c r="K84" t="str" cm="1">
        <f t="array" ref="K84">_xlfn.LET(
_xlpm.raw,TRIM(IF(G84&lt;&gt;"",G84,F84)),
_xlpm.digits,_xlfn.TEXTJOIN("",TRUE,IFERROR(MID(_xlpm.raw,_xlfn.SEQUENCE(LEN(_xlpm.raw)),1)*1,"")),
RIGHT(_xlpm.digits,5)
)</f>
        <v>85658</v>
      </c>
      <c r="L84" t="s">
        <v>417</v>
      </c>
      <c r="M84" t="s">
        <v>418</v>
      </c>
      <c r="N84" s="1">
        <f t="shared" si="6"/>
        <v>621</v>
      </c>
      <c r="O84" s="1">
        <f t="shared" si="7"/>
        <v>517.5</v>
      </c>
      <c r="P84" s="1">
        <f t="shared" si="8"/>
        <v>448.5</v>
      </c>
      <c r="Q84" s="1">
        <f t="shared" si="9"/>
        <v>431.25</v>
      </c>
      <c r="R84" s="1">
        <f t="shared" si="10"/>
        <v>341.55</v>
      </c>
      <c r="S84" t="s">
        <v>419</v>
      </c>
      <c r="T84">
        <v>8</v>
      </c>
    </row>
    <row r="85" spans="1:20" x14ac:dyDescent="0.25">
      <c r="A85" t="s">
        <v>420</v>
      </c>
      <c r="B85" t="str" cm="1">
        <f t="array" ref="B85">_xlfn.LET(
_xlpm.raw,C85,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5204904756</v>
      </c>
      <c r="C85" t="s">
        <v>421</v>
      </c>
      <c r="D85" t="s">
        <v>422</v>
      </c>
      <c r="E85" t="s">
        <v>423</v>
      </c>
      <c r="F85" t="s">
        <v>424</v>
      </c>
      <c r="G85" t="s">
        <v>424</v>
      </c>
      <c r="H85" t="str" cm="1">
        <f t="array" ref="H85">_xlfn.LET(
_xlpm.raw,TRIM(IF(G85&lt;&gt;"",G85,F85)),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7080 E. Calle Morera</v>
      </c>
      <c r="I85" t="str" cm="1">
        <f t="array" ref="I85">_xlfn.LET(
_xlpm.raw,TRIM(IF(G85&lt;&gt;"",G85,F85)),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85" t="str">
        <f t="shared" si="11"/>
        <v>AZ</v>
      </c>
      <c r="K85" t="str" cm="1">
        <f t="array" ref="K85">_xlfn.LET(
_xlpm.raw,TRIM(IF(G85&lt;&gt;"",G85,F85)),
_xlpm.digits,_xlfn.TEXTJOIN("",TRUE,IFERROR(MID(_xlpm.raw,_xlfn.SEQUENCE(LEN(_xlpm.raw)),1)*1,"")),
RIGHT(_xlpm.digits,5)
)</f>
        <v>85750</v>
      </c>
      <c r="L85" t="s">
        <v>254</v>
      </c>
      <c r="M85" t="s">
        <v>134</v>
      </c>
      <c r="N85" s="1">
        <f t="shared" si="6"/>
        <v>783</v>
      </c>
      <c r="O85" s="1">
        <f t="shared" si="7"/>
        <v>652.5</v>
      </c>
      <c r="P85" s="1">
        <f t="shared" si="8"/>
        <v>565.5</v>
      </c>
      <c r="Q85" s="1">
        <f t="shared" si="9"/>
        <v>543.75</v>
      </c>
      <c r="R85" s="1">
        <f t="shared" si="10"/>
        <v>430.65</v>
      </c>
      <c r="S85" t="s">
        <v>425</v>
      </c>
      <c r="T85">
        <v>8</v>
      </c>
    </row>
    <row r="86" spans="1:20" x14ac:dyDescent="0.25">
      <c r="A86" t="s">
        <v>426</v>
      </c>
      <c r="B86" t="str" cm="1">
        <f t="array" ref="B86">_xlfn.LET(
_xlpm.raw,C86,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5208699910</v>
      </c>
      <c r="C86" t="s">
        <v>427</v>
      </c>
      <c r="D86" t="s">
        <v>428</v>
      </c>
      <c r="E86" t="s">
        <v>429</v>
      </c>
      <c r="F86" t="s">
        <v>430</v>
      </c>
      <c r="G86" t="s">
        <v>430</v>
      </c>
      <c r="H86" t="str" cm="1">
        <f t="array" ref="H86">_xlfn.LET(
_xlpm.raw,TRIM(IF(G86&lt;&gt;"",G86,F86)),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12563 N. Summer Wind Dr.</v>
      </c>
      <c r="I86" t="str" cm="1">
        <f t="array" ref="I86">_xlfn.LET(
_xlpm.raw,TRIM(IF(G86&lt;&gt;"",G86,F86)),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Marana</v>
      </c>
      <c r="J86" t="str">
        <f t="shared" si="11"/>
        <v>AZ</v>
      </c>
      <c r="K86" t="str" cm="1">
        <f t="array" ref="K86">_xlfn.LET(
_xlpm.raw,TRIM(IF(G86&lt;&gt;"",G86,F86)),
_xlpm.digits,_xlfn.TEXTJOIN("",TRUE,IFERROR(MID(_xlpm.raw,_xlfn.SEQUENCE(LEN(_xlpm.raw)),1)*1,"")),
RIGHT(_xlpm.digits,5)
)</f>
        <v>85658</v>
      </c>
      <c r="L86" t="s">
        <v>431</v>
      </c>
      <c r="M86" t="s">
        <v>432</v>
      </c>
      <c r="N86" s="1">
        <f t="shared" si="6"/>
        <v>594</v>
      </c>
      <c r="O86" s="1">
        <f t="shared" si="7"/>
        <v>495</v>
      </c>
      <c r="P86" s="1">
        <f t="shared" si="8"/>
        <v>429</v>
      </c>
      <c r="Q86" s="1">
        <f t="shared" si="9"/>
        <v>412.5</v>
      </c>
      <c r="R86" s="1">
        <f t="shared" si="10"/>
        <v>326.7</v>
      </c>
      <c r="S86" t="s">
        <v>433</v>
      </c>
      <c r="T86">
        <v>8</v>
      </c>
    </row>
    <row r="87" spans="1:20" x14ac:dyDescent="0.25">
      <c r="A87" t="s">
        <v>441</v>
      </c>
      <c r="B87" t="str" cm="1">
        <f t="array" ref="B87">_xlfn.LET(
_xlpm.raw,C87,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5202693668</v>
      </c>
      <c r="C87" t="s">
        <v>442</v>
      </c>
      <c r="D87" t="s">
        <v>443</v>
      </c>
      <c r="E87" t="s">
        <v>444</v>
      </c>
      <c r="F87" t="s">
        <v>445</v>
      </c>
      <c r="H87" t="str" cm="1">
        <f t="array" ref="H87">_xlfn.LET(
_xlpm.raw,TRIM(IF(G87&lt;&gt;"",G87,F87)),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11370 W. Farm Village Dr.</v>
      </c>
      <c r="I87" t="str" cm="1">
        <f t="array" ref="I87">_xlfn.LET(
_xlpm.raw,TRIM(IF(G87&lt;&gt;"",G87,F87)),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Marana</v>
      </c>
      <c r="J87" t="str">
        <f t="shared" si="11"/>
        <v>AZ</v>
      </c>
      <c r="K87" t="str" cm="1">
        <f t="array" ref="K87">_xlfn.LET(
_xlpm.raw,TRIM(IF(G87&lt;&gt;"",G87,F87)),
_xlpm.digits,_xlfn.TEXTJOIN("",TRUE,IFERROR(MID(_xlpm.raw,_xlfn.SEQUENCE(LEN(_xlpm.raw)),1)*1,"")),
RIGHT(_xlpm.digits,5)
)</f>
        <v>85653</v>
      </c>
      <c r="L87" t="s">
        <v>446</v>
      </c>
      <c r="M87" t="s">
        <v>447</v>
      </c>
      <c r="N87" s="1">
        <f t="shared" si="6"/>
        <v>702</v>
      </c>
      <c r="O87" s="1">
        <f t="shared" si="7"/>
        <v>585</v>
      </c>
      <c r="P87" s="1">
        <f t="shared" si="8"/>
        <v>507</v>
      </c>
      <c r="Q87" s="1">
        <f t="shared" si="9"/>
        <v>487.5</v>
      </c>
      <c r="R87" s="1">
        <f t="shared" si="10"/>
        <v>386.1</v>
      </c>
      <c r="S87" t="s">
        <v>448</v>
      </c>
      <c r="T87">
        <v>8</v>
      </c>
    </row>
    <row r="88" spans="1:20" x14ac:dyDescent="0.25">
      <c r="A88" t="s">
        <v>472</v>
      </c>
      <c r="B88" t="str" cm="1">
        <f t="array" ref="B88">_xlfn.LET(
_xlpm.raw,C88,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5203434899</v>
      </c>
      <c r="C88" t="s">
        <v>473</v>
      </c>
      <c r="D88" t="s">
        <v>474</v>
      </c>
      <c r="E88" t="s">
        <v>475</v>
      </c>
      <c r="F88" t="s">
        <v>476</v>
      </c>
      <c r="G88" t="s">
        <v>476</v>
      </c>
      <c r="H88" t="str" cm="1">
        <f t="array" ref="H88">_xlfn.LET(
_xlpm.raw,TRIM(IF(G88&lt;&gt;"",G88,F88)),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10684 S. Miramar Canyon Pass</v>
      </c>
      <c r="I88" t="str" cm="1">
        <f t="array" ref="I88">_xlfn.LET(
_xlpm.raw,TRIM(IF(G88&lt;&gt;"",G88,F88)),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Vail</v>
      </c>
      <c r="J88" t="str">
        <f t="shared" si="11"/>
        <v>AZ</v>
      </c>
      <c r="K88" t="str" cm="1">
        <f t="array" ref="K88">_xlfn.LET(
_xlpm.raw,TRIM(IF(G88&lt;&gt;"",G88,F88)),
_xlpm.digits,_xlfn.TEXTJOIN("",TRUE,IFERROR(MID(_xlpm.raw,_xlfn.SEQUENCE(LEN(_xlpm.raw)),1)*1,"")),
RIGHT(_xlpm.digits,5)
)</f>
        <v>85641</v>
      </c>
      <c r="L88" t="s">
        <v>289</v>
      </c>
      <c r="N88" s="1">
        <f t="shared" si="6"/>
        <v>0</v>
      </c>
      <c r="O88" s="1">
        <f t="shared" si="7"/>
        <v>0</v>
      </c>
      <c r="P88" s="1">
        <f t="shared" si="8"/>
        <v>0</v>
      </c>
      <c r="Q88" s="1">
        <f t="shared" si="9"/>
        <v>0</v>
      </c>
      <c r="R88" s="1">
        <f t="shared" si="10"/>
        <v>0</v>
      </c>
      <c r="S88" t="s">
        <v>477</v>
      </c>
      <c r="T88">
        <v>8</v>
      </c>
    </row>
    <row r="89" spans="1:20" x14ac:dyDescent="0.25">
      <c r="A89" t="s">
        <v>478</v>
      </c>
      <c r="B89" t="str" cm="1">
        <f t="array" ref="B89">_xlfn.LET(
_xlpm.raw,C89,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5204843134</v>
      </c>
      <c r="C89" t="s">
        <v>479</v>
      </c>
      <c r="D89" t="s">
        <v>480</v>
      </c>
      <c r="E89" t="s">
        <v>481</v>
      </c>
      <c r="F89" t="s">
        <v>482</v>
      </c>
      <c r="G89" t="s">
        <v>482</v>
      </c>
      <c r="H89" t="str" cm="1">
        <f t="array" ref="H89">_xlfn.LET(
_xlpm.raw,TRIM(IF(G89&lt;&gt;"",G89,F89)),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3500 W. Lost Village Lane</v>
      </c>
      <c r="I89" t="str" cm="1">
        <f t="array" ref="I89">_xlfn.LET(
_xlpm.raw,TRIM(IF(G89&lt;&gt;"",G89,F89)),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89" t="str">
        <f t="shared" si="11"/>
        <v>AZ</v>
      </c>
      <c r="K89" t="str" cm="1">
        <f t="array" ref="K89">_xlfn.LET(
_xlpm.raw,TRIM(IF(G89&lt;&gt;"",G89,F89)),
_xlpm.digits,_xlfn.TEXTJOIN("",TRUE,IFERROR(MID(_xlpm.raw,_xlfn.SEQUENCE(LEN(_xlpm.raw)),1)*1,"")),
RIGHT(_xlpm.digits,5)
)</f>
        <v>85746</v>
      </c>
      <c r="L89" t="s">
        <v>469</v>
      </c>
      <c r="M89" t="s">
        <v>483</v>
      </c>
      <c r="N89" s="1">
        <f t="shared" si="6"/>
        <v>486</v>
      </c>
      <c r="O89" s="1">
        <f t="shared" si="7"/>
        <v>405</v>
      </c>
      <c r="P89" s="1">
        <f t="shared" si="8"/>
        <v>351</v>
      </c>
      <c r="Q89" s="1">
        <f t="shared" si="9"/>
        <v>337.5</v>
      </c>
      <c r="R89" s="1">
        <f t="shared" si="10"/>
        <v>267.3</v>
      </c>
      <c r="S89" t="s">
        <v>484</v>
      </c>
      <c r="T89">
        <v>8</v>
      </c>
    </row>
    <row r="90" spans="1:20" x14ac:dyDescent="0.25">
      <c r="A90" t="s">
        <v>523</v>
      </c>
      <c r="B90" t="str" cm="1">
        <f t="array" ref="B90">_xlfn.LET(
_xlpm.raw,C90,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5203952586</v>
      </c>
      <c r="C90" t="s">
        <v>524</v>
      </c>
      <c r="D90" t="s">
        <v>525</v>
      </c>
      <c r="E90" t="s">
        <v>526</v>
      </c>
      <c r="F90" t="s">
        <v>527</v>
      </c>
      <c r="G90" t="s">
        <v>527</v>
      </c>
      <c r="H90" t="str" cm="1">
        <f t="array" ref="H90">_xlfn.LET(
_xlpm.raw,TRIM(IF(G90&lt;&gt;"",G90,F90)),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10432 E. Placita Guanajuato</v>
      </c>
      <c r="I90" t="str" cm="1">
        <f t="array" ref="I90">_xlfn.LET(
_xlpm.raw,TRIM(IF(G90&lt;&gt;"",G90,F90)),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90" t="str">
        <f t="shared" si="11"/>
        <v>AZ</v>
      </c>
      <c r="K90" t="str" cm="1">
        <f t="array" ref="K90">_xlfn.LET(
_xlpm.raw,TRIM(IF(G90&lt;&gt;"",G90,F90)),
_xlpm.digits,_xlfn.TEXTJOIN("",TRUE,IFERROR(MID(_xlpm.raw,_xlfn.SEQUENCE(LEN(_xlpm.raw)),1)*1,"")),
RIGHT(_xlpm.digits,5)
)</f>
        <v>85749</v>
      </c>
      <c r="L90" t="s">
        <v>125</v>
      </c>
      <c r="M90" t="s">
        <v>126</v>
      </c>
      <c r="N90" s="1">
        <f t="shared" si="6"/>
        <v>1080</v>
      </c>
      <c r="O90" s="1">
        <f t="shared" si="7"/>
        <v>900</v>
      </c>
      <c r="P90" s="1">
        <f t="shared" si="8"/>
        <v>780</v>
      </c>
      <c r="Q90" s="1">
        <f t="shared" si="9"/>
        <v>750</v>
      </c>
      <c r="R90" s="1">
        <f t="shared" si="10"/>
        <v>594</v>
      </c>
      <c r="S90" t="s">
        <v>127</v>
      </c>
      <c r="T90">
        <v>8</v>
      </c>
    </row>
    <row r="91" spans="1:20" x14ac:dyDescent="0.25">
      <c r="A91" t="s">
        <v>540</v>
      </c>
      <c r="B91" t="str" cm="1">
        <f t="array" ref="B91">_xlfn.LET(
_xlpm.raw,C91,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5202474776</v>
      </c>
      <c r="C91" t="s">
        <v>541</v>
      </c>
      <c r="D91" t="s">
        <v>542</v>
      </c>
      <c r="E91" t="s">
        <v>543</v>
      </c>
      <c r="F91" t="s">
        <v>544</v>
      </c>
      <c r="G91" t="s">
        <v>544</v>
      </c>
      <c r="H91" t="str" cm="1">
        <f t="array" ref="H91">_xlfn.LET(
_xlpm.raw,TRIM(IF(G91&lt;&gt;"",G91,F91)),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12850 N. Bandanna Way</v>
      </c>
      <c r="I91" t="str" cm="1">
        <f t="array" ref="I91">_xlfn.LET(
_xlpm.raw,TRIM(IF(G91&lt;&gt;"",G91,F91)),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Oro Valley</v>
      </c>
      <c r="J91" t="str">
        <f t="shared" si="11"/>
        <v>AZ</v>
      </c>
      <c r="K91" t="str" cm="1">
        <f t="array" ref="K91">_xlfn.LET(
_xlpm.raw,TRIM(IF(G91&lt;&gt;"",G91,F91)),
_xlpm.digits,_xlfn.TEXTJOIN("",TRUE,IFERROR(MID(_xlpm.raw,_xlfn.SEQUENCE(LEN(_xlpm.raw)),1)*1,"")),
RIGHT(_xlpm.digits,5)
)</f>
        <v>85755</v>
      </c>
      <c r="L91" t="s">
        <v>454</v>
      </c>
      <c r="M91" t="s">
        <v>513</v>
      </c>
      <c r="N91" s="1">
        <f t="shared" si="6"/>
        <v>675</v>
      </c>
      <c r="O91" s="1">
        <f t="shared" si="7"/>
        <v>562.5</v>
      </c>
      <c r="P91" s="1">
        <f t="shared" si="8"/>
        <v>487.5</v>
      </c>
      <c r="Q91" s="1">
        <f t="shared" si="9"/>
        <v>468.75</v>
      </c>
      <c r="R91" s="1">
        <f t="shared" si="10"/>
        <v>371.25</v>
      </c>
      <c r="S91" t="s">
        <v>545</v>
      </c>
      <c r="T91">
        <v>8</v>
      </c>
    </row>
    <row r="92" spans="1:20" x14ac:dyDescent="0.25">
      <c r="A92" t="s">
        <v>546</v>
      </c>
      <c r="B92" t="str" cm="1">
        <f t="array" ref="B92">_xlfn.LET(
_xlpm.raw,C92,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5206646666</v>
      </c>
      <c r="C92" t="s">
        <v>547</v>
      </c>
      <c r="D92" t="s">
        <v>548</v>
      </c>
      <c r="E92" t="s">
        <v>549</v>
      </c>
      <c r="F92" t="s">
        <v>550</v>
      </c>
      <c r="G92" t="s">
        <v>550</v>
      </c>
      <c r="H92" t="str" cm="1">
        <f t="array" ref="H92">_xlfn.LET(
_xlpm.raw,TRIM(IF(G92&lt;&gt;"",G92,F92)),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9884 N. Longford Dr.</v>
      </c>
      <c r="I92" t="str" cm="1">
        <f t="array" ref="I92">_xlfn.LET(
_xlpm.raw,TRIM(IF(G92&lt;&gt;"",G92,F92)),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92" t="str">
        <f t="shared" si="11"/>
        <v>AZ</v>
      </c>
      <c r="K92" t="str" cm="1">
        <f t="array" ref="K92">_xlfn.LET(
_xlpm.raw,TRIM(IF(G92&lt;&gt;"",G92,F92)),
_xlpm.digits,_xlfn.TEXTJOIN("",TRUE,IFERROR(MID(_xlpm.raw,_xlfn.SEQUENCE(LEN(_xlpm.raw)),1)*1,"")),
RIGHT(_xlpm.digits,5)
)</f>
        <v>85742</v>
      </c>
      <c r="L92" t="s">
        <v>551</v>
      </c>
      <c r="M92" t="s">
        <v>552</v>
      </c>
      <c r="N92" s="1">
        <f t="shared" si="6"/>
        <v>945</v>
      </c>
      <c r="O92" s="1">
        <f t="shared" si="7"/>
        <v>787.5</v>
      </c>
      <c r="P92" s="1">
        <f t="shared" si="8"/>
        <v>682.5</v>
      </c>
      <c r="Q92" s="1">
        <f t="shared" si="9"/>
        <v>656.25</v>
      </c>
      <c r="R92" s="1">
        <f t="shared" si="10"/>
        <v>519.75</v>
      </c>
      <c r="S92" t="s">
        <v>553</v>
      </c>
      <c r="T92">
        <v>8</v>
      </c>
    </row>
    <row r="93" spans="1:20" x14ac:dyDescent="0.25">
      <c r="A93" t="s">
        <v>554</v>
      </c>
      <c r="B93" t="str" cm="1">
        <f t="array" ref="B93">_xlfn.LET(
_xlpm.raw,C93,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3038187675</v>
      </c>
      <c r="C93" t="s">
        <v>555</v>
      </c>
      <c r="D93" t="s">
        <v>556</v>
      </c>
      <c r="E93" t="s">
        <v>557</v>
      </c>
      <c r="F93" t="s">
        <v>558</v>
      </c>
      <c r="G93" t="s">
        <v>558</v>
      </c>
      <c r="H93" t="str" cm="1">
        <f t="array" ref="H93">_xlfn.LET(
_xlpm.raw,TRIM(IF(G93&lt;&gt;"",G93,F93)),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7860 E. Benson Hwy</v>
      </c>
      <c r="I93" t="str" cm="1">
        <f t="array" ref="I93">_xlfn.LET(
_xlpm.raw,TRIM(IF(G93&lt;&gt;"",G93,F93)),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93" t="str">
        <f t="shared" si="11"/>
        <v>AZ</v>
      </c>
      <c r="K93" t="str" cm="1">
        <f t="array" ref="K93">_xlfn.LET(
_xlpm.raw,TRIM(IF(G93&lt;&gt;"",G93,F93)),
_xlpm.digits,_xlfn.TEXTJOIN("",TRUE,IFERROR(MID(_xlpm.raw,_xlfn.SEQUENCE(LEN(_xlpm.raw)),1)*1,"")),
RIGHT(_xlpm.digits,5)
)</f>
        <v>85756</v>
      </c>
      <c r="L93" t="s">
        <v>15</v>
      </c>
      <c r="M93" t="s">
        <v>147</v>
      </c>
      <c r="N93" s="1">
        <f t="shared" si="6"/>
        <v>810</v>
      </c>
      <c r="O93" s="1">
        <f t="shared" si="7"/>
        <v>675</v>
      </c>
      <c r="P93" s="1">
        <f t="shared" si="8"/>
        <v>585</v>
      </c>
      <c r="Q93" s="1">
        <f t="shared" si="9"/>
        <v>562.5</v>
      </c>
      <c r="R93" s="1">
        <f t="shared" si="10"/>
        <v>445.5</v>
      </c>
      <c r="S93" t="s">
        <v>559</v>
      </c>
      <c r="T93">
        <v>8</v>
      </c>
    </row>
    <row r="94" spans="1:20" x14ac:dyDescent="0.25">
      <c r="A94" t="s">
        <v>567</v>
      </c>
      <c r="B94" t="str" cm="1">
        <f t="array" ref="B94">_xlfn.LET(
_xlpm.raw,C94,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5209274683</v>
      </c>
      <c r="C94" t="s">
        <v>568</v>
      </c>
      <c r="D94" t="s">
        <v>569</v>
      </c>
      <c r="E94" t="s">
        <v>570</v>
      </c>
      <c r="F94" t="s">
        <v>571</v>
      </c>
      <c r="H94" t="str" cm="1">
        <f t="array" ref="H94">_xlfn.LET(
_xlpm.raw,TRIM(IF(G94&lt;&gt;"",G94,F94)),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8768 W. Saguaro Moon Rd.</v>
      </c>
      <c r="I94" t="str" cm="1">
        <f t="array" ref="I94">_xlfn.LET(
_xlpm.raw,TRIM(IF(G94&lt;&gt;"",G94,F94)),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Marana</v>
      </c>
      <c r="J94" t="str">
        <f t="shared" si="11"/>
        <v>AZ</v>
      </c>
      <c r="K94" t="str" cm="1">
        <f t="array" ref="K94">_xlfn.LET(
_xlpm.raw,TRIM(IF(G94&lt;&gt;"",G94,F94)),
_xlpm.digits,_xlfn.TEXTJOIN("",TRUE,IFERROR(MID(_xlpm.raw,_xlfn.SEQUENCE(LEN(_xlpm.raw)),1)*1,"")),
RIGHT(_xlpm.digits,5)
)</f>
        <v>85653</v>
      </c>
      <c r="L94" t="s">
        <v>551</v>
      </c>
      <c r="M94" t="s">
        <v>572</v>
      </c>
      <c r="N94" s="1">
        <f t="shared" si="6"/>
        <v>1161</v>
      </c>
      <c r="O94" s="1">
        <f t="shared" si="7"/>
        <v>967.5</v>
      </c>
      <c r="P94" s="1">
        <f t="shared" si="8"/>
        <v>838.5</v>
      </c>
      <c r="Q94" s="1">
        <f t="shared" si="9"/>
        <v>806.25</v>
      </c>
      <c r="R94" s="1">
        <f t="shared" si="10"/>
        <v>638.54999999999995</v>
      </c>
      <c r="S94" t="s">
        <v>573</v>
      </c>
      <c r="T94">
        <v>8</v>
      </c>
    </row>
    <row r="95" spans="1:20" x14ac:dyDescent="0.25">
      <c r="A95" t="s">
        <v>574</v>
      </c>
      <c r="B95" t="str" cm="1">
        <f t="array" ref="B95">_xlfn.LET(
_xlpm.raw,C95,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5208378221</v>
      </c>
      <c r="C95" t="s">
        <v>575</v>
      </c>
      <c r="D95" t="s">
        <v>576</v>
      </c>
      <c r="F95" t="s">
        <v>577</v>
      </c>
      <c r="H95" t="str" cm="1">
        <f t="array" ref="H95">_xlfn.LET(
_xlpm.raw,TRIM(IF(G95&lt;&gt;"",G95,F95)),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3400 E Zoo Ct.</v>
      </c>
      <c r="I95" t="str" cm="1">
        <f t="array" ref="I95">_xlfn.LET(
_xlpm.raw,TRIM(IF(G95&lt;&gt;"",G95,F95)),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95" t="str">
        <f t="shared" si="11"/>
        <v>AZ</v>
      </c>
      <c r="K95" t="str" cm="1">
        <f t="array" ref="K95">_xlfn.LET(
_xlpm.raw,TRIM(IF(G95&lt;&gt;"",G95,F95)),
_xlpm.digits,_xlfn.TEXTJOIN("",TRUE,IFERROR(MID(_xlpm.raw,_xlfn.SEQUENCE(LEN(_xlpm.raw)),1)*1,"")),
RIGHT(_xlpm.digits,5)
)</f>
        <v>85716</v>
      </c>
      <c r="L95" t="s">
        <v>520</v>
      </c>
      <c r="N95" s="1">
        <f t="shared" si="6"/>
        <v>0</v>
      </c>
      <c r="O95" s="1">
        <f t="shared" si="7"/>
        <v>0</v>
      </c>
      <c r="P95" s="1">
        <f t="shared" si="8"/>
        <v>0</v>
      </c>
      <c r="Q95" s="1">
        <f t="shared" si="9"/>
        <v>0</v>
      </c>
      <c r="R95" s="1">
        <f t="shared" si="10"/>
        <v>0</v>
      </c>
      <c r="S95" t="s">
        <v>578</v>
      </c>
      <c r="T95">
        <v>8</v>
      </c>
    </row>
    <row r="96" spans="1:20" x14ac:dyDescent="0.25">
      <c r="A96" t="s">
        <v>579</v>
      </c>
      <c r="B96">
        <v>5207427733</v>
      </c>
      <c r="C96" t="s">
        <v>580</v>
      </c>
      <c r="D96" t="s">
        <v>581</v>
      </c>
      <c r="E96" t="s">
        <v>582</v>
      </c>
      <c r="F96" t="s">
        <v>583</v>
      </c>
      <c r="G96" t="s">
        <v>583</v>
      </c>
      <c r="H96" t="str" cm="1">
        <f t="array" ref="H96">_xlfn.LET(
_xlpm.raw,TRIM(IF(G96&lt;&gt;"",G96,F96)),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7320 N. La Cholla Blvd. #154-137</v>
      </c>
      <c r="I96" t="str" cm="1">
        <f t="array" ref="I96">_xlfn.LET(
_xlpm.raw,TRIM(IF(G96&lt;&gt;"",G96,F96)),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96" t="str">
        <f t="shared" si="11"/>
        <v>AZ</v>
      </c>
      <c r="K96" t="str" cm="1">
        <f t="array" ref="K96">_xlfn.LET(
_xlpm.raw,TRIM(IF(G96&lt;&gt;"",G96,F96)),
_xlpm.digits,_xlfn.TEXTJOIN("",TRUE,IFERROR(MID(_xlpm.raw,_xlfn.SEQUENCE(LEN(_xlpm.raw)),1)*1,"")),
RIGHT(_xlpm.digits,5)
)</f>
        <v>85741</v>
      </c>
      <c r="L96" t="s">
        <v>584</v>
      </c>
      <c r="N96" s="1">
        <f t="shared" si="6"/>
        <v>0</v>
      </c>
      <c r="O96" s="1">
        <f t="shared" si="7"/>
        <v>0</v>
      </c>
      <c r="P96" s="1">
        <f t="shared" si="8"/>
        <v>0</v>
      </c>
      <c r="Q96" s="1">
        <f t="shared" si="9"/>
        <v>0</v>
      </c>
      <c r="R96" s="1">
        <f t="shared" si="10"/>
        <v>0</v>
      </c>
      <c r="S96" t="s">
        <v>585</v>
      </c>
      <c r="T96">
        <v>8</v>
      </c>
    </row>
    <row r="97" spans="1:20" x14ac:dyDescent="0.25">
      <c r="A97" t="s">
        <v>586</v>
      </c>
      <c r="B97" t="str" cm="1">
        <f t="array" ref="B97">_xlfn.LET(
_xlpm.raw,C97,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5202723141</v>
      </c>
      <c r="C97" t="s">
        <v>587</v>
      </c>
      <c r="D97" t="s">
        <v>581</v>
      </c>
      <c r="E97" t="s">
        <v>582</v>
      </c>
      <c r="F97" t="s">
        <v>588</v>
      </c>
      <c r="G97" t="s">
        <v>588</v>
      </c>
      <c r="H97" t="str" cm="1">
        <f t="array" ref="H97">_xlfn.LET(
_xlpm.raw,TRIM(IF(G97&lt;&gt;"",G97,F97)),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Reliable Landscape Services7320 N. La Cholla Blvd. #154-137</v>
      </c>
      <c r="I97" t="str" cm="1">
        <f t="array" ref="I97">_xlfn.LET(
_xlpm.raw,TRIM(IF(G97&lt;&gt;"",G97,F97)),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97" t="str">
        <f t="shared" si="11"/>
        <v>AZ</v>
      </c>
      <c r="K97" t="str" cm="1">
        <f t="array" ref="K97">_xlfn.LET(
_xlpm.raw,TRIM(IF(G97&lt;&gt;"",G97,F97)),
_xlpm.digits,_xlfn.TEXTJOIN("",TRUE,IFERROR(MID(_xlpm.raw,_xlfn.SEQUENCE(LEN(_xlpm.raw)),1)*1,"")),
RIGHT(_xlpm.digits,5)
)</f>
        <v>85741</v>
      </c>
      <c r="L97" t="s">
        <v>584</v>
      </c>
      <c r="N97" s="1">
        <f t="shared" si="6"/>
        <v>0</v>
      </c>
      <c r="O97" s="1">
        <f t="shared" si="7"/>
        <v>0</v>
      </c>
      <c r="P97" s="1">
        <f t="shared" si="8"/>
        <v>0</v>
      </c>
      <c r="Q97" s="1">
        <f t="shared" si="9"/>
        <v>0</v>
      </c>
      <c r="R97" s="1">
        <f t="shared" si="10"/>
        <v>0</v>
      </c>
      <c r="S97" t="s">
        <v>585</v>
      </c>
      <c r="T97">
        <v>8</v>
      </c>
    </row>
    <row r="98" spans="1:20" x14ac:dyDescent="0.25">
      <c r="A98" t="s">
        <v>589</v>
      </c>
      <c r="B98" t="str" cm="1">
        <f t="array" ref="B98">_xlfn.LET(
_xlpm.raw,C98,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2732723141</v>
      </c>
      <c r="C98" t="s">
        <v>580</v>
      </c>
      <c r="D98" t="s">
        <v>581</v>
      </c>
      <c r="E98" t="s">
        <v>582</v>
      </c>
      <c r="F98" t="s">
        <v>583</v>
      </c>
      <c r="G98" t="s">
        <v>590</v>
      </c>
      <c r="H98" t="str" cm="1">
        <f t="array" ref="H98">_xlfn.LET(
_xlpm.raw,TRIM(IF(G98&lt;&gt;"",G98,F98)),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1265 W. Versilia Drive</v>
      </c>
      <c r="I98" t="str" cm="1">
        <f t="array" ref="I98">_xlfn.LET(
_xlpm.raw,TRIM(IF(G98&lt;&gt;"",G98,F98)),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Oro Valley</v>
      </c>
      <c r="J98" t="str">
        <f t="shared" si="11"/>
        <v>AZ</v>
      </c>
      <c r="K98" t="str" cm="1">
        <f t="array" ref="K98">_xlfn.LET(
_xlpm.raw,TRIM(IF(G98&lt;&gt;"",G98,F98)),
_xlpm.digits,_xlfn.TEXTJOIN("",TRUE,IFERROR(MID(_xlpm.raw,_xlfn.SEQUENCE(LEN(_xlpm.raw)),1)*1,"")),
RIGHT(_xlpm.digits,5)
)</f>
        <v>85755</v>
      </c>
      <c r="L98" t="s">
        <v>584</v>
      </c>
      <c r="N98" s="1">
        <f t="shared" si="6"/>
        <v>0</v>
      </c>
      <c r="O98" s="1">
        <f t="shared" si="7"/>
        <v>0</v>
      </c>
      <c r="P98" s="1">
        <f t="shared" si="8"/>
        <v>0</v>
      </c>
      <c r="Q98" s="1">
        <f t="shared" si="9"/>
        <v>0</v>
      </c>
      <c r="R98" s="1">
        <f t="shared" si="10"/>
        <v>0</v>
      </c>
      <c r="S98" t="s">
        <v>585</v>
      </c>
      <c r="T98">
        <v>8</v>
      </c>
    </row>
    <row r="99" spans="1:20" x14ac:dyDescent="0.25">
      <c r="A99" t="s">
        <v>596</v>
      </c>
      <c r="B99" t="str" cm="1">
        <f t="array" ref="B99">_xlfn.LET(
_xlpm.raw,C99,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5204060689</v>
      </c>
      <c r="C99" t="s">
        <v>597</v>
      </c>
      <c r="D99" t="s">
        <v>598</v>
      </c>
      <c r="E99" t="s">
        <v>599</v>
      </c>
      <c r="F99" t="s">
        <v>600</v>
      </c>
      <c r="H99" t="str" cm="1">
        <f t="array" ref="H99">_xlfn.LET(
_xlpm.raw,TRIM(IF(G99&lt;&gt;"",G99,F99)),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264 E. Painted Pottery Pl.</v>
      </c>
      <c r="I99" t="str" cm="1">
        <f t="array" ref="I99">_xlfn.LET(
_xlpm.raw,TRIM(IF(G99&lt;&gt;"",G99,F99)),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Oro Valley</v>
      </c>
      <c r="J99" t="str">
        <f t="shared" si="11"/>
        <v>AZ</v>
      </c>
      <c r="K99" t="str" cm="1">
        <f t="array" ref="K99">_xlfn.LET(
_xlpm.raw,TRIM(IF(G99&lt;&gt;"",G99,F99)),
_xlpm.digits,_xlfn.TEXTJOIN("",TRUE,IFERROR(MID(_xlpm.raw,_xlfn.SEQUENCE(LEN(_xlpm.raw)),1)*1,"")),
RIGHT(_xlpm.digits,5)
)</f>
        <v>85755</v>
      </c>
      <c r="L99" t="s">
        <v>328</v>
      </c>
      <c r="M99" t="s">
        <v>513</v>
      </c>
      <c r="N99" s="1">
        <f t="shared" si="6"/>
        <v>675</v>
      </c>
      <c r="O99" s="1">
        <f t="shared" si="7"/>
        <v>562.5</v>
      </c>
      <c r="P99" s="1">
        <f t="shared" si="8"/>
        <v>487.5</v>
      </c>
      <c r="Q99" s="1">
        <f t="shared" si="9"/>
        <v>468.75</v>
      </c>
      <c r="R99" s="1">
        <f t="shared" si="10"/>
        <v>371.25</v>
      </c>
      <c r="S99" t="s">
        <v>601</v>
      </c>
      <c r="T99">
        <v>8</v>
      </c>
    </row>
    <row r="100" spans="1:20" x14ac:dyDescent="0.25">
      <c r="A100" t="s">
        <v>602</v>
      </c>
      <c r="B100" t="str" cm="1">
        <f t="array" ref="B100">_xlfn.LET(
_xlpm.raw,C100,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5208919517</v>
      </c>
      <c r="C100" t="s">
        <v>603</v>
      </c>
      <c r="D100" t="s">
        <v>604</v>
      </c>
      <c r="E100" t="s">
        <v>605</v>
      </c>
      <c r="F100" t="s">
        <v>606</v>
      </c>
      <c r="G100" t="s">
        <v>606</v>
      </c>
      <c r="H100" t="str" cm="1">
        <f t="array" ref="H100">_xlfn.LET(
_xlpm.raw,TRIM(IF(G100&lt;&gt;"",G100,F100)),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5780 E. 14th St.</v>
      </c>
      <c r="I100" t="str" cm="1">
        <f t="array" ref="I100">_xlfn.LET(
_xlpm.raw,TRIM(IF(G100&lt;&gt;"",G100,F100)),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00" t="str">
        <f t="shared" si="11"/>
        <v>AZ</v>
      </c>
      <c r="K100" t="str" cm="1">
        <f t="array" ref="K100">_xlfn.LET(
_xlpm.raw,TRIM(IF(G100&lt;&gt;"",G100,F100)),
_xlpm.digits,_xlfn.TEXTJOIN("",TRUE,IFERROR(MID(_xlpm.raw,_xlfn.SEQUENCE(LEN(_xlpm.raw)),1)*1,"")),
RIGHT(_xlpm.digits,5)
)</f>
        <v>85711</v>
      </c>
      <c r="L100" t="s">
        <v>607</v>
      </c>
      <c r="M100" t="s">
        <v>266</v>
      </c>
      <c r="N100" s="1">
        <f t="shared" si="6"/>
        <v>1053</v>
      </c>
      <c r="O100" s="1">
        <f t="shared" si="7"/>
        <v>877.5</v>
      </c>
      <c r="P100" s="1">
        <f t="shared" si="8"/>
        <v>760.5</v>
      </c>
      <c r="Q100" s="1">
        <f t="shared" si="9"/>
        <v>731.25</v>
      </c>
      <c r="R100" s="1">
        <f t="shared" si="10"/>
        <v>579.15</v>
      </c>
      <c r="S100" t="s">
        <v>608</v>
      </c>
      <c r="T100">
        <v>8</v>
      </c>
    </row>
    <row r="101" spans="1:20" x14ac:dyDescent="0.25">
      <c r="A101" t="s">
        <v>615</v>
      </c>
      <c r="B101">
        <v>5202604462</v>
      </c>
      <c r="C101" t="s">
        <v>616</v>
      </c>
      <c r="D101" t="s">
        <v>617</v>
      </c>
      <c r="E101" t="s">
        <v>618</v>
      </c>
      <c r="F101" t="s">
        <v>619</v>
      </c>
      <c r="G101" t="s">
        <v>619</v>
      </c>
      <c r="H101" t="str" cm="1">
        <f t="array" ref="H101">_xlfn.LET(
_xlpm.raw,TRIM(IF(G101&lt;&gt;"",G101,F101)),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1217 N. Marshview Lane</v>
      </c>
      <c r="I101" t="str" cm="1">
        <f t="array" ref="I101">_xlfn.LET(
_xlpm.raw,TRIM(IF(G101&lt;&gt;"",G101,F101)),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Green Valley</v>
      </c>
      <c r="J101" t="str">
        <f t="shared" si="11"/>
        <v>AZ</v>
      </c>
      <c r="K101" t="str" cm="1">
        <f t="array" ref="K101">_xlfn.LET(
_xlpm.raw,TRIM(IF(G101&lt;&gt;"",G101,F101)),
_xlpm.digits,_xlfn.TEXTJOIN("",TRUE,IFERROR(MID(_xlpm.raw,_xlfn.SEQUENCE(LEN(_xlpm.raw)),1)*1,"")),
RIGHT(_xlpm.digits,5)
)</f>
        <v>85614</v>
      </c>
      <c r="L101" t="s">
        <v>620</v>
      </c>
      <c r="M101" t="s">
        <v>61</v>
      </c>
      <c r="N101" s="1">
        <f t="shared" si="6"/>
        <v>540</v>
      </c>
      <c r="O101" s="1">
        <f t="shared" si="7"/>
        <v>450</v>
      </c>
      <c r="P101" s="1">
        <f t="shared" si="8"/>
        <v>390</v>
      </c>
      <c r="Q101" s="1">
        <f t="shared" si="9"/>
        <v>375</v>
      </c>
      <c r="R101" s="1">
        <f t="shared" si="10"/>
        <v>297</v>
      </c>
      <c r="S101" t="s">
        <v>621</v>
      </c>
      <c r="T101">
        <v>8</v>
      </c>
    </row>
    <row r="102" spans="1:20" x14ac:dyDescent="0.25">
      <c r="A102" t="s">
        <v>629</v>
      </c>
      <c r="B102" t="str" cm="1">
        <f t="array" ref="B102">_xlfn.LET(
_xlpm.raw,C102,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5209071046</v>
      </c>
      <c r="C102" t="s">
        <v>630</v>
      </c>
      <c r="D102" t="s">
        <v>631</v>
      </c>
      <c r="E102" t="s">
        <v>632</v>
      </c>
      <c r="F102" t="s">
        <v>633</v>
      </c>
      <c r="H102" t="str" cm="1">
        <f t="array" ref="H102">_xlfn.LET(
_xlpm.raw,TRIM(IF(G102&lt;&gt;"",G102,F102)),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11380 N. Meadow Sage Dr.</v>
      </c>
      <c r="I102" t="str" cm="1">
        <f t="array" ref="I102">_xlfn.LET(
_xlpm.raw,TRIM(IF(G102&lt;&gt;"",G102,F102)),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02" t="str">
        <f t="shared" si="11"/>
        <v>AZ</v>
      </c>
      <c r="K102" t="str" cm="1">
        <f t="array" ref="K102">_xlfn.LET(
_xlpm.raw,TRIM(IF(G102&lt;&gt;"",G102,F102)),
_xlpm.digits,_xlfn.TEXTJOIN("",TRUE,IFERROR(MID(_xlpm.raw,_xlfn.SEQUENCE(LEN(_xlpm.raw)),1)*1,"")),
RIGHT(_xlpm.digits,5)
)</f>
        <v>85737</v>
      </c>
      <c r="L102" t="s">
        <v>634</v>
      </c>
      <c r="N102" s="1">
        <f t="shared" si="6"/>
        <v>0</v>
      </c>
      <c r="O102" s="1">
        <f t="shared" si="7"/>
        <v>0</v>
      </c>
      <c r="P102" s="1">
        <f t="shared" si="8"/>
        <v>0</v>
      </c>
      <c r="Q102" s="1">
        <f t="shared" si="9"/>
        <v>0</v>
      </c>
      <c r="R102" s="1">
        <f t="shared" si="10"/>
        <v>0</v>
      </c>
      <c r="S102" t="s">
        <v>635</v>
      </c>
      <c r="T102">
        <v>8</v>
      </c>
    </row>
    <row r="103" spans="1:20" x14ac:dyDescent="0.25">
      <c r="A103" t="s">
        <v>650</v>
      </c>
      <c r="B103" t="str" cm="1">
        <f t="array" ref="B103">_xlfn.LET(
_xlpm.raw,C103,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5207956500</v>
      </c>
      <c r="C103" t="s">
        <v>651</v>
      </c>
      <c r="D103" t="s">
        <v>652</v>
      </c>
      <c r="E103" t="s">
        <v>653</v>
      </c>
      <c r="F103" t="s">
        <v>654</v>
      </c>
      <c r="G103" t="s">
        <v>654</v>
      </c>
      <c r="H103" t="s">
        <v>784</v>
      </c>
      <c r="I103" t="s">
        <v>780</v>
      </c>
      <c r="J103" t="str">
        <f t="shared" si="11"/>
        <v>AZ</v>
      </c>
      <c r="L103" t="s">
        <v>655</v>
      </c>
      <c r="N103" s="1">
        <f t="shared" si="6"/>
        <v>0</v>
      </c>
      <c r="O103" s="1">
        <f t="shared" si="7"/>
        <v>0</v>
      </c>
      <c r="P103" s="1">
        <f t="shared" si="8"/>
        <v>0</v>
      </c>
      <c r="Q103" s="1">
        <f t="shared" si="9"/>
        <v>0</v>
      </c>
      <c r="R103" s="1">
        <f t="shared" si="10"/>
        <v>0</v>
      </c>
      <c r="S103" t="s">
        <v>656</v>
      </c>
      <c r="T103">
        <v>8</v>
      </c>
    </row>
    <row r="104" spans="1:20" x14ac:dyDescent="0.25">
      <c r="A104" t="s">
        <v>657</v>
      </c>
      <c r="B104" t="str" cm="1">
        <f t="array" ref="B104">_xlfn.LET(
_xlpm.raw,C104,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5207956500</v>
      </c>
      <c r="C104" t="s">
        <v>651</v>
      </c>
      <c r="D104" t="s">
        <v>652</v>
      </c>
      <c r="E104" t="s">
        <v>653</v>
      </c>
      <c r="F104" t="s">
        <v>654</v>
      </c>
      <c r="G104" t="s">
        <v>654</v>
      </c>
      <c r="H104" t="s">
        <v>784</v>
      </c>
      <c r="I104" t="s">
        <v>780</v>
      </c>
      <c r="J104" t="str">
        <f t="shared" si="11"/>
        <v>AZ</v>
      </c>
      <c r="L104" t="s">
        <v>655</v>
      </c>
      <c r="N104" s="1">
        <f t="shared" si="6"/>
        <v>0</v>
      </c>
      <c r="O104" s="1">
        <f t="shared" si="7"/>
        <v>0</v>
      </c>
      <c r="P104" s="1">
        <f t="shared" si="8"/>
        <v>0</v>
      </c>
      <c r="Q104" s="1">
        <f t="shared" si="9"/>
        <v>0</v>
      </c>
      <c r="R104" s="1">
        <f t="shared" si="10"/>
        <v>0</v>
      </c>
      <c r="S104" t="s">
        <v>656</v>
      </c>
      <c r="T104">
        <v>8</v>
      </c>
    </row>
    <row r="105" spans="1:20" x14ac:dyDescent="0.25">
      <c r="A105" t="s">
        <v>665</v>
      </c>
      <c r="B105" t="str" cm="1">
        <f t="array" ref="B105">_xlfn.LET(
_xlpm.raw,C105,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5202607377</v>
      </c>
      <c r="C105" t="s">
        <v>666</v>
      </c>
      <c r="D105" t="s">
        <v>667</v>
      </c>
      <c r="E105" t="s">
        <v>668</v>
      </c>
      <c r="F105" t="s">
        <v>669</v>
      </c>
      <c r="H105" t="str" cm="1">
        <f t="array" ref="H105">_xlfn.LET(
_xlpm.raw,TRIM(IF(G105&lt;&gt;"",G105,F105)),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1542 W. Sage Brook Ct.</v>
      </c>
      <c r="I105" t="str" cm="1">
        <f t="array" ref="I105">_xlfn.LET(
_xlpm.raw,TRIM(IF(G105&lt;&gt;"",G105,F105)),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Oro Valley</v>
      </c>
      <c r="J105" t="str">
        <f t="shared" si="11"/>
        <v>AZ</v>
      </c>
      <c r="K105" t="str" cm="1">
        <f t="array" ref="K105">_xlfn.LET(
_xlpm.raw,TRIM(IF(G105&lt;&gt;"",G105,F105)),
_xlpm.digits,_xlfn.TEXTJOIN("",TRUE,IFERROR(MID(_xlpm.raw,_xlfn.SEQUENCE(LEN(_xlpm.raw)),1)*1,"")),
RIGHT(_xlpm.digits,5)
)</f>
        <v>85737</v>
      </c>
      <c r="L105" t="s">
        <v>490</v>
      </c>
      <c r="M105" t="s">
        <v>670</v>
      </c>
      <c r="N105" s="1">
        <f t="shared" si="6"/>
        <v>1026</v>
      </c>
      <c r="O105" s="1">
        <f t="shared" si="7"/>
        <v>855</v>
      </c>
      <c r="P105" s="1">
        <f t="shared" si="8"/>
        <v>741</v>
      </c>
      <c r="Q105" s="1">
        <f t="shared" si="9"/>
        <v>712.5</v>
      </c>
      <c r="R105" s="1">
        <f t="shared" si="10"/>
        <v>564.29999999999995</v>
      </c>
      <c r="S105" t="s">
        <v>671</v>
      </c>
      <c r="T105">
        <v>8</v>
      </c>
    </row>
    <row r="106" spans="1:20" x14ac:dyDescent="0.25">
      <c r="A106" t="s">
        <v>691</v>
      </c>
      <c r="B106">
        <v>5205740298</v>
      </c>
      <c r="C106" t="s">
        <v>692</v>
      </c>
      <c r="D106" t="s">
        <v>693</v>
      </c>
      <c r="E106" t="s">
        <v>694</v>
      </c>
      <c r="F106" t="s">
        <v>695</v>
      </c>
      <c r="G106" t="s">
        <v>695</v>
      </c>
      <c r="H106" t="str" cm="1">
        <f t="array" ref="H106">_xlfn.LET(
_xlpm.raw,TRIM(IF(G106&lt;&gt;"",G106,F106)),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Attn: Ken8401 S. Kolb</v>
      </c>
      <c r="I106" t="str" cm="1">
        <f t="array" ref="I106">_xlfn.LET(
_xlpm.raw,TRIM(IF(G106&lt;&gt;"",G106,F106)),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06" t="str">
        <f t="shared" si="11"/>
        <v>AZ</v>
      </c>
      <c r="K106" t="str" cm="1">
        <f t="array" ref="K106">_xlfn.LET(
_xlpm.raw,TRIM(IF(G106&lt;&gt;"",G106,F106)),
_xlpm.digits,_xlfn.TEXTJOIN("",TRUE,IFERROR(MID(_xlpm.raw,_xlfn.SEQUENCE(LEN(_xlpm.raw)),1)*1,"")),
RIGHT(_xlpm.digits,5)
)</f>
        <v>85756</v>
      </c>
      <c r="L106" t="s">
        <v>241</v>
      </c>
      <c r="N106" s="1">
        <f t="shared" si="6"/>
        <v>0</v>
      </c>
      <c r="O106" s="1">
        <f t="shared" si="7"/>
        <v>0</v>
      </c>
      <c r="P106" s="1">
        <f t="shared" si="8"/>
        <v>0</v>
      </c>
      <c r="Q106" s="1">
        <f t="shared" si="9"/>
        <v>0</v>
      </c>
      <c r="R106" s="1">
        <f t="shared" si="10"/>
        <v>0</v>
      </c>
      <c r="S106" t="s">
        <v>696</v>
      </c>
      <c r="T106">
        <v>8</v>
      </c>
    </row>
    <row r="107" spans="1:20" x14ac:dyDescent="0.25">
      <c r="A107" t="s">
        <v>697</v>
      </c>
      <c r="B107" t="str" cm="1">
        <f t="array" ref="B107">_xlfn.LET(
_xlpm.raw,C107,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5202982381</v>
      </c>
      <c r="C107" t="s">
        <v>698</v>
      </c>
      <c r="D107" t="s">
        <v>699</v>
      </c>
      <c r="E107" t="s">
        <v>700</v>
      </c>
      <c r="F107" t="s">
        <v>701</v>
      </c>
      <c r="G107" t="s">
        <v>701</v>
      </c>
      <c r="H107" t="s">
        <v>785</v>
      </c>
      <c r="I107" t="s">
        <v>780</v>
      </c>
      <c r="J107">
        <v>85713</v>
      </c>
      <c r="K107" t="str" cm="1">
        <f t="array" ref="K107">_xlfn.LET(
_xlpm.raw,TRIM(IF(G107&lt;&gt;"",G107,F107)),
_xlpm.digits,_xlfn.TEXTJOIN("",TRUE,IFERROR(MID(_xlpm.raw,_xlfn.SEQUENCE(LEN(_xlpm.raw)),1)*1,"")),
RIGHT(_xlpm.digits,5)
)</f>
        <v>53113</v>
      </c>
      <c r="L107" t="s">
        <v>313</v>
      </c>
      <c r="N107" s="1">
        <f t="shared" si="6"/>
        <v>0</v>
      </c>
      <c r="O107" s="1">
        <f t="shared" si="7"/>
        <v>0</v>
      </c>
      <c r="P107" s="1">
        <f t="shared" si="8"/>
        <v>0</v>
      </c>
      <c r="Q107" s="1">
        <f t="shared" si="9"/>
        <v>0</v>
      </c>
      <c r="R107" s="1">
        <f t="shared" si="10"/>
        <v>0</v>
      </c>
      <c r="S107" t="s">
        <v>702</v>
      </c>
      <c r="T107">
        <v>8</v>
      </c>
    </row>
    <row r="108" spans="1:20" x14ac:dyDescent="0.25">
      <c r="A108" t="s">
        <v>703</v>
      </c>
      <c r="B108" t="str" cm="1">
        <f t="array" ref="B108">_xlfn.LET(
_xlpm.raw,C108,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5204008323</v>
      </c>
      <c r="C108" t="s">
        <v>704</v>
      </c>
      <c r="D108" t="s">
        <v>705</v>
      </c>
      <c r="E108" t="s">
        <v>706</v>
      </c>
      <c r="F108" t="s">
        <v>707</v>
      </c>
      <c r="G108" t="s">
        <v>707</v>
      </c>
      <c r="H108" t="str" cm="1">
        <f t="array" ref="H108">_xlfn.LET(
_xlpm.raw,TRIM(IF(G108&lt;&gt;"",G108,F108)),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
      </c>
      <c r="I108" t="str" cm="1">
        <f t="array" ref="I108">_xlfn.LET(
_xlpm.raw,TRIM(IF(G108&lt;&gt;"",G108,F108)),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08" t="str">
        <f t="shared" si="11"/>
        <v>AZ</v>
      </c>
      <c r="K108" t="str" cm="1">
        <f t="array" ref="K108">_xlfn.LET(
_xlpm.raw,TRIM(IF(G108&lt;&gt;"",G108,F108)),
_xlpm.digits,_xlfn.TEXTJOIN("",TRUE,IFERROR(MID(_xlpm.raw,_xlfn.SEQUENCE(LEN(_xlpm.raw)),1)*1,"")),
RIGHT(_xlpm.digits,5)
)</f>
        <v>85743</v>
      </c>
      <c r="L108" t="s">
        <v>84</v>
      </c>
      <c r="N108" s="1">
        <f t="shared" si="6"/>
        <v>0</v>
      </c>
      <c r="O108" s="1">
        <f t="shared" si="7"/>
        <v>0</v>
      </c>
      <c r="P108" s="1">
        <f t="shared" si="8"/>
        <v>0</v>
      </c>
      <c r="Q108" s="1">
        <f t="shared" si="9"/>
        <v>0</v>
      </c>
      <c r="R108" s="1">
        <f t="shared" si="10"/>
        <v>0</v>
      </c>
      <c r="S108" t="s">
        <v>381</v>
      </c>
      <c r="T108">
        <v>8</v>
      </c>
    </row>
    <row r="109" spans="1:20" x14ac:dyDescent="0.25">
      <c r="A109" t="s">
        <v>708</v>
      </c>
      <c r="B109" t="str" cm="1">
        <f t="array" ref="B109">_xlfn.LET(
_xlpm.raw,C109,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5204008323</v>
      </c>
      <c r="C109" t="s">
        <v>704</v>
      </c>
      <c r="D109" t="s">
        <v>705</v>
      </c>
      <c r="E109" t="s">
        <v>706</v>
      </c>
      <c r="F109" t="s">
        <v>707</v>
      </c>
      <c r="G109" t="s">
        <v>707</v>
      </c>
      <c r="H109" t="str" cm="1">
        <f t="array" ref="H109">_xlfn.LET(
_xlpm.raw,TRIM(IF(G109&lt;&gt;"",G109,F109)),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
      </c>
      <c r="I109" t="str" cm="1">
        <f t="array" ref="I109">_xlfn.LET(
_xlpm.raw,TRIM(IF(G109&lt;&gt;"",G109,F109)),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09" t="str">
        <f t="shared" si="11"/>
        <v>AZ</v>
      </c>
      <c r="K109" t="str" cm="1">
        <f t="array" ref="K109">_xlfn.LET(
_xlpm.raw,TRIM(IF(G109&lt;&gt;"",G109,F109)),
_xlpm.digits,_xlfn.TEXTJOIN("",TRUE,IFERROR(MID(_xlpm.raw,_xlfn.SEQUENCE(LEN(_xlpm.raw)),1)*1,"")),
RIGHT(_xlpm.digits,5)
)</f>
        <v>85743</v>
      </c>
      <c r="L109" t="s">
        <v>84</v>
      </c>
      <c r="N109" s="1">
        <f t="shared" si="6"/>
        <v>0</v>
      </c>
      <c r="O109" s="1">
        <f t="shared" si="7"/>
        <v>0</v>
      </c>
      <c r="P109" s="1">
        <f t="shared" si="8"/>
        <v>0</v>
      </c>
      <c r="Q109" s="1">
        <f t="shared" si="9"/>
        <v>0</v>
      </c>
      <c r="R109" s="1">
        <f t="shared" si="10"/>
        <v>0</v>
      </c>
      <c r="S109" t="s">
        <v>381</v>
      </c>
      <c r="T109">
        <v>8</v>
      </c>
    </row>
    <row r="110" spans="1:20" x14ac:dyDescent="0.25">
      <c r="A110" t="s">
        <v>713</v>
      </c>
      <c r="B110" t="str" cm="1">
        <f t="array" ref="B110">_xlfn.LET(
_xlpm.raw,C110,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5204009627</v>
      </c>
      <c r="C110" t="s">
        <v>714</v>
      </c>
      <c r="D110" t="s">
        <v>715</v>
      </c>
      <c r="F110" t="s">
        <v>716</v>
      </c>
      <c r="H110" t="str" cm="1">
        <f t="array" ref="H110">_xlfn.LET(
_xlpm.raw,TRIM(IF(G110&lt;&gt;"",G110,F110)),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9455 E. Valencia Rd.</v>
      </c>
      <c r="I110" t="str" cm="1">
        <f t="array" ref="I110">_xlfn.LET(
_xlpm.raw,TRIM(IF(G110&lt;&gt;"",G110,F110)),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10" t="str">
        <f t="shared" si="11"/>
        <v>AZ</v>
      </c>
      <c r="K110" t="str" cm="1">
        <f t="array" ref="K110">_xlfn.LET(
_xlpm.raw,TRIM(IF(G110&lt;&gt;"",G110,F110)),
_xlpm.digits,_xlfn.TEXTJOIN("",TRUE,IFERROR(MID(_xlpm.raw,_xlfn.SEQUENCE(LEN(_xlpm.raw)),1)*1,"")),
RIGHT(_xlpm.digits,5)
)</f>
        <v>85747</v>
      </c>
      <c r="L110" t="s">
        <v>717</v>
      </c>
      <c r="N110" s="1">
        <f t="shared" si="6"/>
        <v>0</v>
      </c>
      <c r="O110" s="1">
        <f t="shared" si="7"/>
        <v>0</v>
      </c>
      <c r="P110" s="1">
        <f t="shared" si="8"/>
        <v>0</v>
      </c>
      <c r="Q110" s="1">
        <f t="shared" si="9"/>
        <v>0</v>
      </c>
      <c r="R110" s="1">
        <f t="shared" si="10"/>
        <v>0</v>
      </c>
      <c r="S110" t="s">
        <v>718</v>
      </c>
      <c r="T110">
        <v>8</v>
      </c>
    </row>
    <row r="111" spans="1:20" x14ac:dyDescent="0.25">
      <c r="A111" t="s">
        <v>724</v>
      </c>
      <c r="B111" t="str" cm="1">
        <f t="array" ref="B111">_xlfn.LET(
_xlpm.raw,C111,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5207206211</v>
      </c>
      <c r="C111" t="s">
        <v>725</v>
      </c>
      <c r="D111" t="s">
        <v>726</v>
      </c>
      <c r="E111" t="s">
        <v>727</v>
      </c>
      <c r="F111" t="s">
        <v>728</v>
      </c>
      <c r="G111" t="s">
        <v>728</v>
      </c>
      <c r="H111" t="str" cm="1">
        <f t="array" ref="H111">_xlfn.LET(
_xlpm.raw,TRIM(IF(G111&lt;&gt;"",G111,F111)),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332 W. Andrew Potter St.</v>
      </c>
      <c r="I111" t="str" cm="1">
        <f t="array" ref="I111">_xlfn.LET(
_xlpm.raw,TRIM(IF(G111&lt;&gt;"",G111,F111)),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Vail</v>
      </c>
      <c r="J111" t="str">
        <f t="shared" si="11"/>
        <v>AZ</v>
      </c>
      <c r="K111" t="str" cm="1">
        <f t="array" ref="K111">_xlfn.LET(
_xlpm.raw,TRIM(IF(G111&lt;&gt;"",G111,F111)),
_xlpm.digits,_xlfn.TEXTJOIN("",TRUE,IFERROR(MID(_xlpm.raw,_xlfn.SEQUENCE(LEN(_xlpm.raw)),1)*1,"")),
RIGHT(_xlpm.digits,5)
)</f>
        <v>85641</v>
      </c>
      <c r="L111" t="s">
        <v>439</v>
      </c>
      <c r="M111" t="s">
        <v>729</v>
      </c>
      <c r="N111" s="1">
        <f t="shared" si="6"/>
        <v>972</v>
      </c>
      <c r="O111" s="1">
        <f t="shared" si="7"/>
        <v>810</v>
      </c>
      <c r="P111" s="1">
        <f t="shared" si="8"/>
        <v>702</v>
      </c>
      <c r="Q111" s="1">
        <f t="shared" si="9"/>
        <v>675</v>
      </c>
      <c r="R111" s="1">
        <f t="shared" si="10"/>
        <v>534.6</v>
      </c>
      <c r="S111" t="s">
        <v>730</v>
      </c>
      <c r="T111">
        <v>8</v>
      </c>
    </row>
    <row r="112" spans="1:20" x14ac:dyDescent="0.25">
      <c r="A112" t="s">
        <v>731</v>
      </c>
      <c r="B112" t="str" cm="1">
        <f t="array" ref="B112">_xlfn.LET(
_xlpm.raw,C112,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5204056316</v>
      </c>
      <c r="C112" t="s">
        <v>732</v>
      </c>
      <c r="D112" t="s">
        <v>733</v>
      </c>
      <c r="E112" t="s">
        <v>734</v>
      </c>
      <c r="F112" t="s">
        <v>735</v>
      </c>
      <c r="G112" t="s">
        <v>735</v>
      </c>
      <c r="H112" t="str" cm="1">
        <f t="array" ref="H112">_xlfn.LET(
_xlpm.raw,TRIM(IF(G112&lt;&gt;"",G112,F112)),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11246 N. Mountain Breeze Dr.</v>
      </c>
      <c r="I112" t="str" cm="1">
        <f t="array" ref="I112">_xlfn.LET(
_xlpm.raw,TRIM(IF(G112&lt;&gt;"",G112,F112)),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Oro Valley</v>
      </c>
      <c r="J112" t="str">
        <f t="shared" si="11"/>
        <v>AZ</v>
      </c>
      <c r="K112" t="str" cm="1">
        <f t="array" ref="K112">_xlfn.LET(
_xlpm.raw,TRIM(IF(G112&lt;&gt;"",G112,F112)),
_xlpm.digits,_xlfn.TEXTJOIN("",TRUE,IFERROR(MID(_xlpm.raw,_xlfn.SEQUENCE(LEN(_xlpm.raw)),1)*1,"")),
RIGHT(_xlpm.digits,5)
)</f>
        <v>85737</v>
      </c>
      <c r="L112" t="s">
        <v>233</v>
      </c>
      <c r="N112" s="1">
        <f t="shared" si="6"/>
        <v>0</v>
      </c>
      <c r="O112" s="1">
        <f t="shared" si="7"/>
        <v>0</v>
      </c>
      <c r="P112" s="1">
        <f t="shared" si="8"/>
        <v>0</v>
      </c>
      <c r="Q112" s="1">
        <f t="shared" si="9"/>
        <v>0</v>
      </c>
      <c r="R112" s="1">
        <f t="shared" si="10"/>
        <v>0</v>
      </c>
      <c r="S112" t="s">
        <v>736</v>
      </c>
      <c r="T112">
        <v>8</v>
      </c>
    </row>
    <row r="113" spans="1:20" x14ac:dyDescent="0.25">
      <c r="A113" t="s">
        <v>737</v>
      </c>
      <c r="B113" t="str" cm="1">
        <f t="array" ref="B113">_xlfn.LET(
_xlpm.raw,C113,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5204715401</v>
      </c>
      <c r="C113" t="s">
        <v>738</v>
      </c>
      <c r="D113" t="s">
        <v>739</v>
      </c>
      <c r="E113" t="s">
        <v>740</v>
      </c>
      <c r="F113" t="s">
        <v>741</v>
      </c>
      <c r="G113" t="s">
        <v>741</v>
      </c>
      <c r="H113" t="str" cm="1">
        <f t="array" ref="H113">_xlfn.LET(
_xlpm.raw,TRIM(IF(G113&lt;&gt;"",G113,F113)),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7448 W. Dream Maker Pl.</v>
      </c>
      <c r="I113" t="str" cm="1">
        <f t="array" ref="I113">_xlfn.LET(
_xlpm.raw,TRIM(IF(G113&lt;&gt;"",G113,F113)),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13" t="str">
        <f t="shared" si="11"/>
        <v>AZ</v>
      </c>
      <c r="K113" t="str" cm="1">
        <f t="array" ref="K113">_xlfn.LET(
_xlpm.raw,TRIM(IF(G113&lt;&gt;"",G113,F113)),
_xlpm.digits,_xlfn.TEXTJOIN("",TRUE,IFERROR(MID(_xlpm.raw,_xlfn.SEQUENCE(LEN(_xlpm.raw)),1)*1,"")),
RIGHT(_xlpm.digits,5)
)</f>
        <v>85743</v>
      </c>
      <c r="L113" t="s">
        <v>742</v>
      </c>
      <c r="N113" s="1">
        <f t="shared" si="6"/>
        <v>0</v>
      </c>
      <c r="O113" s="1">
        <f t="shared" si="7"/>
        <v>0</v>
      </c>
      <c r="P113" s="1">
        <f t="shared" si="8"/>
        <v>0</v>
      </c>
      <c r="Q113" s="1">
        <f t="shared" si="9"/>
        <v>0</v>
      </c>
      <c r="R113" s="1">
        <f t="shared" si="10"/>
        <v>0</v>
      </c>
      <c r="S113" t="s">
        <v>743</v>
      </c>
      <c r="T113">
        <v>8</v>
      </c>
    </row>
    <row r="114" spans="1:20" x14ac:dyDescent="0.25">
      <c r="A114" t="s">
        <v>744</v>
      </c>
      <c r="B114" t="str" cm="1">
        <f t="array" ref="B114">_xlfn.LET(
_xlpm.raw,C114,
_xlpm.cleaned,_xlfn.TEXTJOIN("",TRUE,IFERROR(MID(_xlpm.raw,_xlfn.SEQUENCE(LEN(_xlpm.raw)),1)*1,"")),
_xlpm.afterPhone,IFERROR(_xlfn.TEXTAFTER(LOWER(_xlpm.raw),"phone"),_xlpm.raw),
_xlpm.phoneDigits,_xlfn.TEXTJOIN("",TRUE,IFERROR(MID(_xlpm.afterPhone,_xlfn.SEQUENCE(LEN(_xlpm.afterPhone)),1)*1,"")),
_xlpm.digits,IF(LEN(_xlpm.phoneDigits)&gt;=7,_xlpm.phoneDigits,_xlpm.cleaned),
_xlpm.last10,IF(LEN(_xlpm.digits)&gt;=10,RIGHT(_xlpm.digits,10),_xlpm.digits),
IF(LEN(_xlpm.last10)=7,"520"&amp;_xlpm.last10,_xlpm.last10)
)</f>
        <v>5208857520</v>
      </c>
      <c r="C114" t="s">
        <v>745</v>
      </c>
      <c r="E114" t="s">
        <v>746</v>
      </c>
      <c r="F114" t="s">
        <v>747</v>
      </c>
      <c r="G114" t="s">
        <v>747</v>
      </c>
      <c r="H114" t="str" cm="1">
        <f t="array" ref="H114">_xlfn.LET(
_xlpm.raw,TRIM(IF(G114&lt;&gt;"",G114,F114)),
_xlpm.zip,RIGHT(_xlfn.TEXTJOIN("",TRUE,IFERROR(MID(_xlpm.raw,_xlfn.SEQUENCE(LEN(_xlpm.raw)),1)*1,"")),5),
_xlpm.beforeZip,TRIM(_xlfn.TEXTBEFORE(_xlpm.raw,_xlpm.zip)),
_xlpm.clean,TRIM(SUBSTITUTE(SUBSTITUTE(_xlpm.beforeZip," AZ",""),",","")),
_xlpm.city,IF(ISNUMBER(SEARCH("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IF(_xlpm.city="",_xlpm.clean,TRIM(_xlfn.TEXTBEFORE(_xlpm.clean,_xlpm.city)))
)</f>
        <v>8137 E. Rivenoak Dr.</v>
      </c>
      <c r="I114" t="str" cm="1">
        <f t="array" ref="I114">_xlfn.LET(
_xlpm.raw,TRIM(IF(G114&lt;&gt;"",G114,F114)),
_xlpm.zip,RIGHT(_xlfn.TEXTJOIN("",TRUE,IFERROR(MID(_xlpm.raw,_xlfn.SEQUENCE(LEN(_xlpm.raw)),1)*1,"")),5),
_xlpm.beforeZip,TRIM(_xlfn.TEXTBEFORE(_xlpm.raw,_xlpm.zip)),
_xlpm.clean,TRIM(SUBSTITUTE(SUBSTITUTE(_xlpm.beforeZip," AZ",""),",","")),
IF(ISNUMBER(SEARCH(" Tucson ", " "&amp;_xlpm.clean&amp;" ")),"Tucson",
IF(ISNUMBER(SEARCH(" Marana ", " "&amp;_xlpm.clean&amp;" ")),"Marana",
IF(ISNUMBER(SEARCH(" Oro Valley ", " "&amp;_xlpm.clean&amp;" ")),"Oro Valley",
IF(ISNUMBER(SEARCH(" Vail ", " "&amp;_xlpm.clean&amp;" ")),"Vail",
IF(ISNUMBER(SEARCH(" Sahuarita ", " "&amp;_xlpm.clean&amp;" ")),"Sahuarita",
IF(ISNUMBER(SEARCH(" Green Valley ", " "&amp;_xlpm.clean&amp;" ")),"Green Valley",
IF(ISNUMBER(SEARCH(" Catalina ", " "&amp;_xlpm.clean&amp;" ")),"Catalina",
"")))))))
)</f>
        <v>Tucson</v>
      </c>
      <c r="J114" t="str">
        <f t="shared" si="11"/>
        <v>AZ</v>
      </c>
      <c r="K114" t="str" cm="1">
        <f t="array" ref="K114">_xlfn.LET(
_xlpm.raw,TRIM(IF(G114&lt;&gt;"",G114,F114)),
_xlpm.digits,_xlfn.TEXTJOIN("",TRUE,IFERROR(MID(_xlpm.raw,_xlfn.SEQUENCE(LEN(_xlpm.raw)),1)*1,"")),
RIGHT(_xlpm.digits,5)
)</f>
        <v>85715</v>
      </c>
      <c r="L114" t="s">
        <v>748</v>
      </c>
      <c r="N114" s="1">
        <f t="shared" ref="N114" si="12">M114*1.8</f>
        <v>0</v>
      </c>
      <c r="O114" s="1">
        <f t="shared" ref="O114" si="13">M114*1.5</f>
        <v>0</v>
      </c>
      <c r="P114" s="1">
        <f t="shared" ref="P114" si="14">M114*1.3</f>
        <v>0</v>
      </c>
      <c r="Q114" s="1">
        <f t="shared" ref="Q114" si="15">M114*1.25</f>
        <v>0</v>
      </c>
      <c r="R114" s="1">
        <f t="shared" ref="R114" si="16">M114*0.99</f>
        <v>0</v>
      </c>
      <c r="S114" t="s">
        <v>749</v>
      </c>
      <c r="T114">
        <v>8</v>
      </c>
    </row>
    <row r="115" spans="1:20" x14ac:dyDescent="0.25">
      <c r="N115" s="1">
        <f>SUM(N2:N114)</f>
        <v>94901.4</v>
      </c>
      <c r="O115" s="1">
        <f>SUM(O2:O114)</f>
        <v>79084.5</v>
      </c>
      <c r="P115" s="1">
        <f>SUM(P2:P114)</f>
        <v>68539.899999999994</v>
      </c>
      <c r="Q115" s="1">
        <f>SUM(Q2:Q114)</f>
        <v>65903.75</v>
      </c>
      <c r="R115" s="1">
        <f>SUM(R2:R114)</f>
        <v>52195.770000000004</v>
      </c>
    </row>
  </sheetData>
  <sortState xmlns:xlrd2="http://schemas.microsoft.com/office/spreadsheetml/2017/richdata2" ref="A2:T114">
    <sortCondition descending="1" ref="T1:T114"/>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Wiglesworth</cp:lastModifiedBy>
  <dcterms:created xsi:type="dcterms:W3CDTF">2026-05-20T21:40:32Z</dcterms:created>
  <dcterms:modified xsi:type="dcterms:W3CDTF">2026-05-25T19:29:53Z</dcterms:modified>
</cp:coreProperties>
</file>