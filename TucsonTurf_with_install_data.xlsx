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62e4b9aa4771126/Desktop/Dev/turfminders/"/>
    </mc:Choice>
  </mc:AlternateContent>
  <xr:revisionPtr revIDLastSave="34" documentId="11_53BDD1BCD31056174960DCF0505ED87656CC5F45" xr6:coauthVersionLast="47" xr6:coauthVersionMax="47" xr10:uidLastSave="{426A35BF-63C6-41CB-B873-96CA81046C03}"/>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6" i="1" l="1"/>
  <c r="K136" i="1"/>
  <c r="L136" i="1"/>
  <c r="M136" i="1"/>
  <c r="I136" i="1"/>
  <c r="I3" i="1"/>
  <c r="J3" i="1"/>
  <c r="K3" i="1"/>
  <c r="L3" i="1"/>
  <c r="M3" i="1"/>
  <c r="I4" i="1"/>
  <c r="J4" i="1"/>
  <c r="K4" i="1"/>
  <c r="L4" i="1"/>
  <c r="M4" i="1"/>
  <c r="I5" i="1"/>
  <c r="J5" i="1"/>
  <c r="K5" i="1"/>
  <c r="L5" i="1"/>
  <c r="M5" i="1"/>
  <c r="I6" i="1"/>
  <c r="J6" i="1"/>
  <c r="K6" i="1"/>
  <c r="L6" i="1"/>
  <c r="M6" i="1"/>
  <c r="I7" i="1"/>
  <c r="J7" i="1"/>
  <c r="K7" i="1"/>
  <c r="L7" i="1"/>
  <c r="M7" i="1"/>
  <c r="I8" i="1"/>
  <c r="J8" i="1"/>
  <c r="K8" i="1"/>
  <c r="L8" i="1"/>
  <c r="M8" i="1"/>
  <c r="I9" i="1"/>
  <c r="J9" i="1"/>
  <c r="K9" i="1"/>
  <c r="L9" i="1"/>
  <c r="M9" i="1"/>
  <c r="I10" i="1"/>
  <c r="J10" i="1"/>
  <c r="K10" i="1"/>
  <c r="L10" i="1"/>
  <c r="M10" i="1"/>
  <c r="I11" i="1"/>
  <c r="J11" i="1"/>
  <c r="K11" i="1"/>
  <c r="L11" i="1"/>
  <c r="M11" i="1"/>
  <c r="I12" i="1"/>
  <c r="J12" i="1"/>
  <c r="K12" i="1"/>
  <c r="L12" i="1"/>
  <c r="M12" i="1"/>
  <c r="I13" i="1"/>
  <c r="J13" i="1"/>
  <c r="K13" i="1"/>
  <c r="L13" i="1"/>
  <c r="M13" i="1"/>
  <c r="I14" i="1"/>
  <c r="J14" i="1"/>
  <c r="K14" i="1"/>
  <c r="L14" i="1"/>
  <c r="M14" i="1"/>
  <c r="I15" i="1"/>
  <c r="J15" i="1"/>
  <c r="K15" i="1"/>
  <c r="L15" i="1"/>
  <c r="M15" i="1"/>
  <c r="I16" i="1"/>
  <c r="J16" i="1"/>
  <c r="K16" i="1"/>
  <c r="L16" i="1"/>
  <c r="M16" i="1"/>
  <c r="I17" i="1"/>
  <c r="J17" i="1"/>
  <c r="K17" i="1"/>
  <c r="L17" i="1"/>
  <c r="M17" i="1"/>
  <c r="I18" i="1"/>
  <c r="J18" i="1"/>
  <c r="K18" i="1"/>
  <c r="L18" i="1"/>
  <c r="M18" i="1"/>
  <c r="I19" i="1"/>
  <c r="J19" i="1"/>
  <c r="K19" i="1"/>
  <c r="L19" i="1"/>
  <c r="M19" i="1"/>
  <c r="I20" i="1"/>
  <c r="J20" i="1"/>
  <c r="K20" i="1"/>
  <c r="L20" i="1"/>
  <c r="M20" i="1"/>
  <c r="I21" i="1"/>
  <c r="J21" i="1"/>
  <c r="K21" i="1"/>
  <c r="L21" i="1"/>
  <c r="M21" i="1"/>
  <c r="I22" i="1"/>
  <c r="J22" i="1"/>
  <c r="K22" i="1"/>
  <c r="L22" i="1"/>
  <c r="M22" i="1"/>
  <c r="I23" i="1"/>
  <c r="J23" i="1"/>
  <c r="K23" i="1"/>
  <c r="L23" i="1"/>
  <c r="M23" i="1"/>
  <c r="I24" i="1"/>
  <c r="J24" i="1"/>
  <c r="K24" i="1"/>
  <c r="L24" i="1"/>
  <c r="M24" i="1"/>
  <c r="I25" i="1"/>
  <c r="J25" i="1"/>
  <c r="K25" i="1"/>
  <c r="L25" i="1"/>
  <c r="M25" i="1"/>
  <c r="I26" i="1"/>
  <c r="J26" i="1"/>
  <c r="K26" i="1"/>
  <c r="L26" i="1"/>
  <c r="M26" i="1"/>
  <c r="I27" i="1"/>
  <c r="J27" i="1"/>
  <c r="K27" i="1"/>
  <c r="L27" i="1"/>
  <c r="M27" i="1"/>
  <c r="I28" i="1"/>
  <c r="J28" i="1"/>
  <c r="K28" i="1"/>
  <c r="L28" i="1"/>
  <c r="M28" i="1"/>
  <c r="I29" i="1"/>
  <c r="J29" i="1"/>
  <c r="K29" i="1"/>
  <c r="L29" i="1"/>
  <c r="M29" i="1"/>
  <c r="I30" i="1"/>
  <c r="J30" i="1"/>
  <c r="K30" i="1"/>
  <c r="L30" i="1"/>
  <c r="M30" i="1"/>
  <c r="I31" i="1"/>
  <c r="J31" i="1"/>
  <c r="K31" i="1"/>
  <c r="L31" i="1"/>
  <c r="M31" i="1"/>
  <c r="I32" i="1"/>
  <c r="J32" i="1"/>
  <c r="K32" i="1"/>
  <c r="L32" i="1"/>
  <c r="M32" i="1"/>
  <c r="I33" i="1"/>
  <c r="J33" i="1"/>
  <c r="K33" i="1"/>
  <c r="L33" i="1"/>
  <c r="M33" i="1"/>
  <c r="I34" i="1"/>
  <c r="J34" i="1"/>
  <c r="K34" i="1"/>
  <c r="L34" i="1"/>
  <c r="M34" i="1"/>
  <c r="I35" i="1"/>
  <c r="J35" i="1"/>
  <c r="K35" i="1"/>
  <c r="L35" i="1"/>
  <c r="M35" i="1"/>
  <c r="I36" i="1"/>
  <c r="J36" i="1"/>
  <c r="K36" i="1"/>
  <c r="L36" i="1"/>
  <c r="M36" i="1"/>
  <c r="I37" i="1"/>
  <c r="J37" i="1"/>
  <c r="K37" i="1"/>
  <c r="L37" i="1"/>
  <c r="M37" i="1"/>
  <c r="I38" i="1"/>
  <c r="J38" i="1"/>
  <c r="K38" i="1"/>
  <c r="L38" i="1"/>
  <c r="M38" i="1"/>
  <c r="I39" i="1"/>
  <c r="J39" i="1"/>
  <c r="K39" i="1"/>
  <c r="L39" i="1"/>
  <c r="M39" i="1"/>
  <c r="I40" i="1"/>
  <c r="J40" i="1"/>
  <c r="K40" i="1"/>
  <c r="L40" i="1"/>
  <c r="M40" i="1"/>
  <c r="I41" i="1"/>
  <c r="J41" i="1"/>
  <c r="K41" i="1"/>
  <c r="L41" i="1"/>
  <c r="M41" i="1"/>
  <c r="I42" i="1"/>
  <c r="J42" i="1"/>
  <c r="K42" i="1"/>
  <c r="L42" i="1"/>
  <c r="M42" i="1"/>
  <c r="I43" i="1"/>
  <c r="J43" i="1"/>
  <c r="K43" i="1"/>
  <c r="L43" i="1"/>
  <c r="M43" i="1"/>
  <c r="I44" i="1"/>
  <c r="J44" i="1"/>
  <c r="K44" i="1"/>
  <c r="L44" i="1"/>
  <c r="M44" i="1"/>
  <c r="I45" i="1"/>
  <c r="J45" i="1"/>
  <c r="K45" i="1"/>
  <c r="L45" i="1"/>
  <c r="M45" i="1"/>
  <c r="I46" i="1"/>
  <c r="J46" i="1"/>
  <c r="K46" i="1"/>
  <c r="L46" i="1"/>
  <c r="M46" i="1"/>
  <c r="I47" i="1"/>
  <c r="J47" i="1"/>
  <c r="K47" i="1"/>
  <c r="L47" i="1"/>
  <c r="M47" i="1"/>
  <c r="I48" i="1"/>
  <c r="J48" i="1"/>
  <c r="K48" i="1"/>
  <c r="L48" i="1"/>
  <c r="M48" i="1"/>
  <c r="I49" i="1"/>
  <c r="J49" i="1"/>
  <c r="K49" i="1"/>
  <c r="L49" i="1"/>
  <c r="M49" i="1"/>
  <c r="I50" i="1"/>
  <c r="J50" i="1"/>
  <c r="K50" i="1"/>
  <c r="L50" i="1"/>
  <c r="M50" i="1"/>
  <c r="I51" i="1"/>
  <c r="J51" i="1"/>
  <c r="K51" i="1"/>
  <c r="L51" i="1"/>
  <c r="M51" i="1"/>
  <c r="I52" i="1"/>
  <c r="J52" i="1"/>
  <c r="K52" i="1"/>
  <c r="L52" i="1"/>
  <c r="M52" i="1"/>
  <c r="I53" i="1"/>
  <c r="J53" i="1"/>
  <c r="K53" i="1"/>
  <c r="L53" i="1"/>
  <c r="M53" i="1"/>
  <c r="I54" i="1"/>
  <c r="J54" i="1"/>
  <c r="K54" i="1"/>
  <c r="L54" i="1"/>
  <c r="M54" i="1"/>
  <c r="I55" i="1"/>
  <c r="J55" i="1"/>
  <c r="K55" i="1"/>
  <c r="L55" i="1"/>
  <c r="M55" i="1"/>
  <c r="I56" i="1"/>
  <c r="J56" i="1"/>
  <c r="K56" i="1"/>
  <c r="L56" i="1"/>
  <c r="M56" i="1"/>
  <c r="I57" i="1"/>
  <c r="J57" i="1"/>
  <c r="K57" i="1"/>
  <c r="L57" i="1"/>
  <c r="M57" i="1"/>
  <c r="I58" i="1"/>
  <c r="J58" i="1"/>
  <c r="K58" i="1"/>
  <c r="L58" i="1"/>
  <c r="M58" i="1"/>
  <c r="I59" i="1"/>
  <c r="J59" i="1"/>
  <c r="K59" i="1"/>
  <c r="L59" i="1"/>
  <c r="M59" i="1"/>
  <c r="I60" i="1"/>
  <c r="J60" i="1"/>
  <c r="K60" i="1"/>
  <c r="L60" i="1"/>
  <c r="M60" i="1"/>
  <c r="I61" i="1"/>
  <c r="J61" i="1"/>
  <c r="K61" i="1"/>
  <c r="L61" i="1"/>
  <c r="M61" i="1"/>
  <c r="I62" i="1"/>
  <c r="J62" i="1"/>
  <c r="K62" i="1"/>
  <c r="L62" i="1"/>
  <c r="M62" i="1"/>
  <c r="I63" i="1"/>
  <c r="J63" i="1"/>
  <c r="K63" i="1"/>
  <c r="L63" i="1"/>
  <c r="M63" i="1"/>
  <c r="I64" i="1"/>
  <c r="J64" i="1"/>
  <c r="K64" i="1"/>
  <c r="L64" i="1"/>
  <c r="M64" i="1"/>
  <c r="I65" i="1"/>
  <c r="J65" i="1"/>
  <c r="K65" i="1"/>
  <c r="L65" i="1"/>
  <c r="M65" i="1"/>
  <c r="I66" i="1"/>
  <c r="J66" i="1"/>
  <c r="K66" i="1"/>
  <c r="L66" i="1"/>
  <c r="M66" i="1"/>
  <c r="I67" i="1"/>
  <c r="J67" i="1"/>
  <c r="K67" i="1"/>
  <c r="L67" i="1"/>
  <c r="M67" i="1"/>
  <c r="I68" i="1"/>
  <c r="J68" i="1"/>
  <c r="K68" i="1"/>
  <c r="L68" i="1"/>
  <c r="M68" i="1"/>
  <c r="I69" i="1"/>
  <c r="J69" i="1"/>
  <c r="K69" i="1"/>
  <c r="L69" i="1"/>
  <c r="M69" i="1"/>
  <c r="I70" i="1"/>
  <c r="J70" i="1"/>
  <c r="K70" i="1"/>
  <c r="L70" i="1"/>
  <c r="M70" i="1"/>
  <c r="I71" i="1"/>
  <c r="J71" i="1"/>
  <c r="K71" i="1"/>
  <c r="L71" i="1"/>
  <c r="M71" i="1"/>
  <c r="I72" i="1"/>
  <c r="J72" i="1"/>
  <c r="K72" i="1"/>
  <c r="L72" i="1"/>
  <c r="M72" i="1"/>
  <c r="I73" i="1"/>
  <c r="J73" i="1"/>
  <c r="K73" i="1"/>
  <c r="L73" i="1"/>
  <c r="M73" i="1"/>
  <c r="I74" i="1"/>
  <c r="J74" i="1"/>
  <c r="K74" i="1"/>
  <c r="L74" i="1"/>
  <c r="M74" i="1"/>
  <c r="I75" i="1"/>
  <c r="J75" i="1"/>
  <c r="K75" i="1"/>
  <c r="L75" i="1"/>
  <c r="M75" i="1"/>
  <c r="I76" i="1"/>
  <c r="J76" i="1"/>
  <c r="K76" i="1"/>
  <c r="L76" i="1"/>
  <c r="M76" i="1"/>
  <c r="I77" i="1"/>
  <c r="J77" i="1"/>
  <c r="K77" i="1"/>
  <c r="L77" i="1"/>
  <c r="M77" i="1"/>
  <c r="I78" i="1"/>
  <c r="J78" i="1"/>
  <c r="K78" i="1"/>
  <c r="L78" i="1"/>
  <c r="M78" i="1"/>
  <c r="I79" i="1"/>
  <c r="J79" i="1"/>
  <c r="K79" i="1"/>
  <c r="L79" i="1"/>
  <c r="M79" i="1"/>
  <c r="I80" i="1"/>
  <c r="J80" i="1"/>
  <c r="K80" i="1"/>
  <c r="L80" i="1"/>
  <c r="M80" i="1"/>
  <c r="I81" i="1"/>
  <c r="J81" i="1"/>
  <c r="K81" i="1"/>
  <c r="L81" i="1"/>
  <c r="M81" i="1"/>
  <c r="I82" i="1"/>
  <c r="J82" i="1"/>
  <c r="K82" i="1"/>
  <c r="L82" i="1"/>
  <c r="M82" i="1"/>
  <c r="I83" i="1"/>
  <c r="J83" i="1"/>
  <c r="K83" i="1"/>
  <c r="L83" i="1"/>
  <c r="M83" i="1"/>
  <c r="I84" i="1"/>
  <c r="J84" i="1"/>
  <c r="K84" i="1"/>
  <c r="L84" i="1"/>
  <c r="M84" i="1"/>
  <c r="I85" i="1"/>
  <c r="J85" i="1"/>
  <c r="K85" i="1"/>
  <c r="L85" i="1"/>
  <c r="M85" i="1"/>
  <c r="I86" i="1"/>
  <c r="J86" i="1"/>
  <c r="K86" i="1"/>
  <c r="L86" i="1"/>
  <c r="M86" i="1"/>
  <c r="I87" i="1"/>
  <c r="J87" i="1"/>
  <c r="K87" i="1"/>
  <c r="L87" i="1"/>
  <c r="M87" i="1"/>
  <c r="I88" i="1"/>
  <c r="J88" i="1"/>
  <c r="K88" i="1"/>
  <c r="L88" i="1"/>
  <c r="M88" i="1"/>
  <c r="I89" i="1"/>
  <c r="J89" i="1"/>
  <c r="K89" i="1"/>
  <c r="L89" i="1"/>
  <c r="M89" i="1"/>
  <c r="I90" i="1"/>
  <c r="J90" i="1"/>
  <c r="K90" i="1"/>
  <c r="L90" i="1"/>
  <c r="M90" i="1"/>
  <c r="I91" i="1"/>
  <c r="J91" i="1"/>
  <c r="K91" i="1"/>
  <c r="L91" i="1"/>
  <c r="M91" i="1"/>
  <c r="I92" i="1"/>
  <c r="J92" i="1"/>
  <c r="K92" i="1"/>
  <c r="L92" i="1"/>
  <c r="M92" i="1"/>
  <c r="I93" i="1"/>
  <c r="J93" i="1"/>
  <c r="K93" i="1"/>
  <c r="L93" i="1"/>
  <c r="M93" i="1"/>
  <c r="I94" i="1"/>
  <c r="J94" i="1"/>
  <c r="K94" i="1"/>
  <c r="L94" i="1"/>
  <c r="M94" i="1"/>
  <c r="I95" i="1"/>
  <c r="J95" i="1"/>
  <c r="K95" i="1"/>
  <c r="L95" i="1"/>
  <c r="M95" i="1"/>
  <c r="I96" i="1"/>
  <c r="J96" i="1"/>
  <c r="K96" i="1"/>
  <c r="L96" i="1"/>
  <c r="M96" i="1"/>
  <c r="I97" i="1"/>
  <c r="J97" i="1"/>
  <c r="K97" i="1"/>
  <c r="L97" i="1"/>
  <c r="M97" i="1"/>
  <c r="I98" i="1"/>
  <c r="J98" i="1"/>
  <c r="K98" i="1"/>
  <c r="L98" i="1"/>
  <c r="M98" i="1"/>
  <c r="I99" i="1"/>
  <c r="J99" i="1"/>
  <c r="K99" i="1"/>
  <c r="L99" i="1"/>
  <c r="M99" i="1"/>
  <c r="I100" i="1"/>
  <c r="J100" i="1"/>
  <c r="K100" i="1"/>
  <c r="L100" i="1"/>
  <c r="M100" i="1"/>
  <c r="I101" i="1"/>
  <c r="J101" i="1"/>
  <c r="K101" i="1"/>
  <c r="L101" i="1"/>
  <c r="M101" i="1"/>
  <c r="I102" i="1"/>
  <c r="J102" i="1"/>
  <c r="K102" i="1"/>
  <c r="L102" i="1"/>
  <c r="M102" i="1"/>
  <c r="I103" i="1"/>
  <c r="J103" i="1"/>
  <c r="K103" i="1"/>
  <c r="L103" i="1"/>
  <c r="M103" i="1"/>
  <c r="I104" i="1"/>
  <c r="J104" i="1"/>
  <c r="K104" i="1"/>
  <c r="L104" i="1"/>
  <c r="M104" i="1"/>
  <c r="I105" i="1"/>
  <c r="J105" i="1"/>
  <c r="K105" i="1"/>
  <c r="L105" i="1"/>
  <c r="M105" i="1"/>
  <c r="I106" i="1"/>
  <c r="J106" i="1"/>
  <c r="K106" i="1"/>
  <c r="L106" i="1"/>
  <c r="M106" i="1"/>
  <c r="I107" i="1"/>
  <c r="J107" i="1"/>
  <c r="K107" i="1"/>
  <c r="L107" i="1"/>
  <c r="M107" i="1"/>
  <c r="I108" i="1"/>
  <c r="J108" i="1"/>
  <c r="K108" i="1"/>
  <c r="L108" i="1"/>
  <c r="M108" i="1"/>
  <c r="I109" i="1"/>
  <c r="J109" i="1"/>
  <c r="K109" i="1"/>
  <c r="L109" i="1"/>
  <c r="M109" i="1"/>
  <c r="I110" i="1"/>
  <c r="J110" i="1"/>
  <c r="K110" i="1"/>
  <c r="L110" i="1"/>
  <c r="M110" i="1"/>
  <c r="I111" i="1"/>
  <c r="J111" i="1"/>
  <c r="K111" i="1"/>
  <c r="L111" i="1"/>
  <c r="M111" i="1"/>
  <c r="I112" i="1"/>
  <c r="J112" i="1"/>
  <c r="K112" i="1"/>
  <c r="L112" i="1"/>
  <c r="M112" i="1"/>
  <c r="I113" i="1"/>
  <c r="J113" i="1"/>
  <c r="K113" i="1"/>
  <c r="L113" i="1"/>
  <c r="M113" i="1"/>
  <c r="I114" i="1"/>
  <c r="J114" i="1"/>
  <c r="K114" i="1"/>
  <c r="L114" i="1"/>
  <c r="M114" i="1"/>
  <c r="I115" i="1"/>
  <c r="J115" i="1"/>
  <c r="K115" i="1"/>
  <c r="L115" i="1"/>
  <c r="M115" i="1"/>
  <c r="I116" i="1"/>
  <c r="J116" i="1"/>
  <c r="K116" i="1"/>
  <c r="L116" i="1"/>
  <c r="M116" i="1"/>
  <c r="I117" i="1"/>
  <c r="J117" i="1"/>
  <c r="K117" i="1"/>
  <c r="L117" i="1"/>
  <c r="M117" i="1"/>
  <c r="I118" i="1"/>
  <c r="J118" i="1"/>
  <c r="K118" i="1"/>
  <c r="L118" i="1"/>
  <c r="M118" i="1"/>
  <c r="I119" i="1"/>
  <c r="J119" i="1"/>
  <c r="K119" i="1"/>
  <c r="L119" i="1"/>
  <c r="M119" i="1"/>
  <c r="I120" i="1"/>
  <c r="J120" i="1"/>
  <c r="K120" i="1"/>
  <c r="L120" i="1"/>
  <c r="M120" i="1"/>
  <c r="I121" i="1"/>
  <c r="J121" i="1"/>
  <c r="K121" i="1"/>
  <c r="L121" i="1"/>
  <c r="M121" i="1"/>
  <c r="I122" i="1"/>
  <c r="J122" i="1"/>
  <c r="K122" i="1"/>
  <c r="L122" i="1"/>
  <c r="M122" i="1"/>
  <c r="I123" i="1"/>
  <c r="J123" i="1"/>
  <c r="K123" i="1"/>
  <c r="L123" i="1"/>
  <c r="M123" i="1"/>
  <c r="I124" i="1"/>
  <c r="J124" i="1"/>
  <c r="K124" i="1"/>
  <c r="L124" i="1"/>
  <c r="M124" i="1"/>
  <c r="I125" i="1"/>
  <c r="J125" i="1"/>
  <c r="K125" i="1"/>
  <c r="L125" i="1"/>
  <c r="M125" i="1"/>
  <c r="I126" i="1"/>
  <c r="J126" i="1"/>
  <c r="K126" i="1"/>
  <c r="L126" i="1"/>
  <c r="M126" i="1"/>
  <c r="I127" i="1"/>
  <c r="J127" i="1"/>
  <c r="K127" i="1"/>
  <c r="L127" i="1"/>
  <c r="M127" i="1"/>
  <c r="I128" i="1"/>
  <c r="J128" i="1"/>
  <c r="K128" i="1"/>
  <c r="L128" i="1"/>
  <c r="M128" i="1"/>
  <c r="I129" i="1"/>
  <c r="J129" i="1"/>
  <c r="K129" i="1"/>
  <c r="L129" i="1"/>
  <c r="M129" i="1"/>
  <c r="I130" i="1"/>
  <c r="J130" i="1"/>
  <c r="K130" i="1"/>
  <c r="L130" i="1"/>
  <c r="M130" i="1"/>
  <c r="I131" i="1"/>
  <c r="J131" i="1"/>
  <c r="K131" i="1"/>
  <c r="L131" i="1"/>
  <c r="M131" i="1"/>
  <c r="I132" i="1"/>
  <c r="J132" i="1"/>
  <c r="K132" i="1"/>
  <c r="L132" i="1"/>
  <c r="M132" i="1"/>
  <c r="I133" i="1"/>
  <c r="J133" i="1"/>
  <c r="K133" i="1"/>
  <c r="L133" i="1"/>
  <c r="M133" i="1"/>
  <c r="I134" i="1"/>
  <c r="J134" i="1"/>
  <c r="K134" i="1"/>
  <c r="L134" i="1"/>
  <c r="M134" i="1"/>
  <c r="I135" i="1"/>
  <c r="J135" i="1"/>
  <c r="K135" i="1"/>
  <c r="L135" i="1"/>
  <c r="M135" i="1"/>
  <c r="M2" i="1"/>
  <c r="L2" i="1"/>
  <c r="K2" i="1"/>
  <c r="J2" i="1"/>
  <c r="I2" i="1"/>
</calcChain>
</file>

<file path=xl/sharedStrings.xml><?xml version="1.0" encoding="utf-8"?>
<sst xmlns="http://schemas.openxmlformats.org/spreadsheetml/2006/main" count="1055" uniqueCount="833">
  <si>
    <t>Customer full name</t>
  </si>
  <si>
    <t>Phone numbers</t>
  </si>
  <si>
    <t>Email</t>
  </si>
  <si>
    <t>Full name</t>
  </si>
  <si>
    <t>Bill address</t>
  </si>
  <si>
    <t>Ship address</t>
  </si>
  <si>
    <t>Install Date</t>
  </si>
  <si>
    <t>Square Footage</t>
  </si>
  <si>
    <t>Notes</t>
  </si>
  <si>
    <t>Score</t>
  </si>
  <si>
    <t>AB</t>
  </si>
  <si>
    <t>2016-06-09 00:00:00</t>
  </si>
  <si>
    <t xml:space="preserve">Sahuarita;  I would like to get a quote on installing turf in my back yard to replace grass and possible install of pavers in front yard if applicable.  W.B. 6/1/16
danquin79@yahoo.com
</t>
  </si>
  <si>
    <t>Abbott, Billie</t>
  </si>
  <si>
    <t>Mobile:(720) 635-6250</t>
  </si>
  <si>
    <t>babbott163@gmail.com</t>
  </si>
  <si>
    <t>Billie  Abbott</t>
  </si>
  <si>
    <t>8701 S. Kolb Rd. #298 Tucson AZ 85756</t>
  </si>
  <si>
    <t>2016-10-03 00:00:00</t>
  </si>
  <si>
    <t>150</t>
  </si>
  <si>
    <t>*150 sq ft Ventana Mesquite Light glue down
Voyager RV   Per Jimmie request to schedule with Quinn job.</t>
  </si>
  <si>
    <t>Abravaya, Gary</t>
  </si>
  <si>
    <t>Mobile:780-7637</t>
  </si>
  <si>
    <t>garyabravaya@gmail.com</t>
  </si>
  <si>
    <t>Gary  Abravaya</t>
  </si>
  <si>
    <t>11693 N. Peaceful Night Rd. Oro Valley AZ 85737</t>
  </si>
  <si>
    <t>2016-07-25 00:00:00</t>
  </si>
  <si>
    <t>890</t>
  </si>
  <si>
    <t>*890 sq ft Diamond Spring Pro; sod removal; add Zeofill
La Canada/Tangerine;  TURF EST for approx. 800 sq ft of existing sod.  W.B. 6/9</t>
  </si>
  <si>
    <t>Adkinson, Frederica</t>
  </si>
  <si>
    <t>Mobile:760-0807</t>
  </si>
  <si>
    <t>freditaa@gmail.com</t>
  </si>
  <si>
    <t>Frederica  Adkinson</t>
  </si>
  <si>
    <t>12050 E. Snyder Tucson AZ 85749</t>
  </si>
  <si>
    <t>2016-06-20 00:00:00</t>
  </si>
  <si>
    <t>840</t>
  </si>
  <si>
    <t xml:space="preserve">*840 sq ft Ventana Mesquite Light
Snyder/Soldier Trail; TURF EST for unknown area.  W.B. 5/18
</t>
  </si>
  <si>
    <t>AIRES, LLC</t>
  </si>
  <si>
    <t xml:space="preserve">Phone:602-995-3591 x1700 </t>
  </si>
  <si>
    <t>MLangschwager@aires.org</t>
  </si>
  <si>
    <t>925 E. Fort Lowell Rd. Tucson AZ 85719</t>
  </si>
  <si>
    <t>2016-09-13 00:00:00</t>
  </si>
  <si>
    <t>555</t>
  </si>
  <si>
    <t xml:space="preserve">*555 sq ft Ventana Mesquite Light
Ft. Lowell/1st Ave. </t>
  </si>
  <si>
    <t>Alter, Warren</t>
  </si>
  <si>
    <t>Mobile:465-4015</t>
  </si>
  <si>
    <t>warrenalter@cox.net</t>
  </si>
  <si>
    <t>Warren  Alter</t>
  </si>
  <si>
    <t>6743 E. Rosewood Pl. Tucson AZ 85710</t>
  </si>
  <si>
    <t>2016-08-09 00:00:00</t>
  </si>
  <si>
    <t>900</t>
  </si>
  <si>
    <t>*900 sq ft Ventana Spring Light; remove pavers/river rock and use 1/2 river rock to border turf
Speedway/Kolb;  TURF EST for backyard.  W.B. 5/27
warrenalter@cox.net</t>
  </si>
  <si>
    <t>Armour, Diana</t>
  </si>
  <si>
    <t xml:space="preserve">Phone:795-2759 </t>
  </si>
  <si>
    <t>Diana  Armour</t>
  </si>
  <si>
    <t>3935 N. Country Club Rd. #40 Tucson AZ 85716</t>
  </si>
  <si>
    <t>2016-08-02 00:00:00</t>
  </si>
  <si>
    <t>1335</t>
  </si>
  <si>
    <t>*1,335 sq ft Tucson Sport (Pet Turf); remove small fruit tree*****CHANGED TO VENT MESQUITE LIGHT PER JIMMIE 7/28*****
Prince/Country Club Rd.;  TURF EST for area in backyard; older lady who lives alone/no pets/not much walking on turf.  W.B. 5/23</t>
  </si>
  <si>
    <t>Arnaud, Heather</t>
  </si>
  <si>
    <t>Mobile:975-4459</t>
  </si>
  <si>
    <t>heatherarnaud@mac.com</t>
  </si>
  <si>
    <t>Heather  Arnaud</t>
  </si>
  <si>
    <t>1611 N. Kelly Pl. Tucson AZ 85715</t>
  </si>
  <si>
    <t>300</t>
  </si>
  <si>
    <t xml:space="preserve">*300 sq ft Ventana Spring Light
Pima/Pantano;  TURF EST for approx. 450 sq ft; wanted to purchase a GROUPON so please apply groupon pricing to the largest piece we sell then quote her on the remaining sq ft.  W.B. 8/5
</t>
  </si>
  <si>
    <t>Banwart, Ron</t>
  </si>
  <si>
    <t>Mobile:885-7699</t>
  </si>
  <si>
    <t>luni5@aol.com</t>
  </si>
  <si>
    <t>Ron  Banwart</t>
  </si>
  <si>
    <t>9311 E. Anne Pl. Tucson AZ 85710</t>
  </si>
  <si>
    <t>2016-08-03 00:00:00</t>
  </si>
  <si>
    <t>1260</t>
  </si>
  <si>
    <t>*1,260 sq ft Ventana Spring Light; sod removal
Golf Links/Harrison;  TURF EST for unknown area.  Has graduation to get to so needs to leave by 4:45 so the sooner the better.  W.B. 5/24</t>
  </si>
  <si>
    <t>Bauman, Andrew</t>
  </si>
  <si>
    <t>Phone:298-0994 Mobile:818-4424</t>
  </si>
  <si>
    <t>drew9316@yahoo.com</t>
  </si>
  <si>
    <t>Andrew  Bauman</t>
  </si>
  <si>
    <t>10490 E. Sky High Dr. Tucson AZ 85730</t>
  </si>
  <si>
    <t>2016-06-23 00:00:00</t>
  </si>
  <si>
    <t>690</t>
  </si>
  <si>
    <t>*690 sq ft Ventana Mesquite Light; rock removal
Has our turf on the side of the house and wants more.</t>
  </si>
  <si>
    <t>Bingham, Kim</t>
  </si>
  <si>
    <t>Mobile:349-6993</t>
  </si>
  <si>
    <t>kimcat4@comcast.net</t>
  </si>
  <si>
    <t>Kim  Bingham</t>
  </si>
  <si>
    <t>10965 N. Black Canyon Court Oro Valley AZ 85737</t>
  </si>
  <si>
    <t>2016-06-03 00:00:00</t>
  </si>
  <si>
    <t>360</t>
  </si>
  <si>
    <t>*360 sq ft Ventana Spring Light; turf removal
Naranja/La Cholla</t>
  </si>
  <si>
    <t>Bourguet</t>
  </si>
  <si>
    <t>2016-06-28 00:00:00</t>
  </si>
  <si>
    <t>660</t>
  </si>
  <si>
    <t xml:space="preserve">*660 sq ft Ventana Mesquite Light
Catalina Hwy/Bear Canyon:  tipsythom@yahoo.com
Re-visit; Toby went and did estimate on 2/29:  here are her thoughts and his pricing on email:
Hi Toby,
My husband and I are wanting to get this done, I tried to visualize what 600 sq feet would look like in our backyard but I'm not very good at that. My husband wants to get this project done, is there a way to meet with him and set up all the details? He is off on Wednesday the 20th, do you have any time...perhaps the next Thursday?  Sorry for the delay and thank you for your patience, Michelle and Thom Gilbert
On Monday, March 7, 2016 9:31 PM, TOBY BOURGUET &lt;coachtoby16@gmail.com&gt; wrote:
Michelle, 
I know we spoke the other day.  If you would like to take advantage of our Spring Special I will extend it to you.  
Taking 5' off each roll would put you at 600sq'  at $7.95 special installed price = $4,770.
</t>
  </si>
  <si>
    <t>Bower, Terri</t>
  </si>
  <si>
    <t>Mobile:971-7702</t>
  </si>
  <si>
    <t>terrisbower@msn.com</t>
  </si>
  <si>
    <t>Terri  Bower</t>
  </si>
  <si>
    <t>331 E. Suffolk Dr. Tucson AZ 85704</t>
  </si>
  <si>
    <t>2016-07-11 00:00:00</t>
  </si>
  <si>
    <t>1020</t>
  </si>
  <si>
    <t>*1,020 sq ft Ventana Mesquite; sod removal; cap irr.
Oracle/Magee;  TURF EST for unknown area; *****when come to driveway--stay to the right.  W.B. 5/16</t>
  </si>
  <si>
    <t>Brace, Ann</t>
  </si>
  <si>
    <t>Mobile:(520) 678-2704</t>
  </si>
  <si>
    <t>goldnluv50@gmail.com</t>
  </si>
  <si>
    <t>Ann  Brace</t>
  </si>
  <si>
    <t>4254 S. Sauk Ave. Sierra Vista AZ 85650</t>
  </si>
  <si>
    <t>2016-08-25 00:00:00</t>
  </si>
  <si>
    <t>630</t>
  </si>
  <si>
    <t xml:space="preserve">*630 sq ft Ventana Mesquite Light per Jimmie over phone (she had texted photos).  8/22 W.B. </t>
  </si>
  <si>
    <t>Brandon</t>
  </si>
  <si>
    <t>2018-06-21 00:00:00</t>
  </si>
  <si>
    <t xml:space="preserve">
Jimmie Noriega
520-940-5199
Begin forwarded message:
From: "Wendy Bourguet" &lt;wendy@tucsonturf.com&lt;mailto:wendy@tucsonturf.com&gt;&gt;
To: "Jimmie Noriega" &lt;jimmie@tucsonturf.com&lt;mailto:jimmie@tucsonturf.com&gt;&gt;
Subject: (TOBY) SABER, Brandon
Orange Grove/La Canada;  TURF EST for ? area.  Set up per Jimmie ICAL/no phone number provided/Jimmie needs help this day with calendar tie up/double booking.
5203909179
</t>
  </si>
  <si>
    <t>Bratt, Richard &amp; Melissa</t>
  </si>
  <si>
    <t>Phone:955-2409 Mobile:(520) 275-9430</t>
  </si>
  <si>
    <t>rbratt@beachfleischman.com, melissab81@msn.com</t>
  </si>
  <si>
    <t>Richard &amp; Melissa  Bratt</t>
  </si>
  <si>
    <t>11581 E. Speedway Blvd. Tucson AZ 85748</t>
  </si>
  <si>
    <t>2016-08-22 00:00:00</t>
  </si>
  <si>
    <t xml:space="preserve">Speedway/Houghton;  SEAM AND AIR BUBBLE ISSUES PER TOBY TEXT 8/11
8/12 W.B.
Call Melissa’s cell 955-2409 or the house at 722-0691.
I am ok with him stopping by if Melissa isn’t home. We will have the dogs put in their dog run so there won’t be any problems.
</t>
  </si>
  <si>
    <t>Brick</t>
  </si>
  <si>
    <t>Phone:544-5786 Mobile:870-0690</t>
  </si>
  <si>
    <t>poochmejan@comcast.net</t>
  </si>
  <si>
    <t>Jan  Brick</t>
  </si>
  <si>
    <t>2422 W. Hidden View Place Tucson AZ 85742</t>
  </si>
  <si>
    <t>2016-08-15 00:00:00</t>
  </si>
  <si>
    <t>1100</t>
  </si>
  <si>
    <t>La Canada/Naranja;  TURF EST for approx. 1,100 sq ft of brick bordered half existing grass half sand that used to have swing set; is taking a friend to airport at 10:00 so needs prior please.  W.B. 8/11</t>
  </si>
  <si>
    <t>Camp, Jeri</t>
  </si>
  <si>
    <t xml:space="preserve">Phone:296-2063 </t>
  </si>
  <si>
    <t>jericamp42@msn.com</t>
  </si>
  <si>
    <t>Jeri  Camp</t>
  </si>
  <si>
    <t>8761 E. Baker St. Tucson AZ 85710</t>
  </si>
  <si>
    <t>2016-05-23 00:00:00</t>
  </si>
  <si>
    <t>600</t>
  </si>
  <si>
    <t>*600 sq ft Ventana Spring Light; sod removal; irr cap.
Speedway/Camino Seco;  TURF EST for a couple of areas around pool.  W.B. 3/21</t>
  </si>
  <si>
    <t>Carson, Sheri</t>
  </si>
  <si>
    <t>Mobile:(360) 701-4332</t>
  </si>
  <si>
    <t>sheri_carson@hotmail.com</t>
  </si>
  <si>
    <t>Sheri  Carson</t>
  </si>
  <si>
    <t>3183 W. Vuelta De Los Mineros Tucson AZ 85745</t>
  </si>
  <si>
    <t>2016-09-15 00:00:00</t>
  </si>
  <si>
    <t>435</t>
  </si>
  <si>
    <t xml:space="preserve">*435 sq ft Ventana Spring Light; sod removal
Silverbell/Ruthrauff;  TURF EST for:  I currently have about 377 square feet of grass in my backyard that has been taken over by weeds in some areas and died off in others.  It is entirely my fault, as I wasn't able to keep up with fertilizing and reseeding due to some significant health issues I have had this past year.  I have been considering laying new sod, but I have a service dog (a beautiful golden retriever who is my LIFE!!) who I just found out is allergic to all types of grass, as well as several weeds, trees, and plants (poor baby - she is pretty much allergic to Arizona...).  So I think installing artificial turf would be much kinder for her.  I would need the old grass torn out and the area prepped for the new artificial turf.  I have met with a few other contractors, but my budget is very tight right now, and if I am going to consider a project like this, I need to make sure I am not getting taken advantage of or getting cheap product because of my budgetary constraints (without going into details, I had a bait and switch pulled on me when I was in the middle of chemotherapy a few months ago, and a project that was supposed to only cost me $1200 ended up costing me $5000 just to get the guy off of my property).  In addition to cost, my biggest concern is the heat of the artificial grass when it is out in the sun.  A few of the samples I have seen get EXTREMELY hot when the sun is on them for only a short period of time, to the point that it burns my feet to stand on it.  So that obviously isn't acceptable for my fur-baby.  Since you are a locally-owned company, I thought you might have access to better products, or at least ideas as to whether or not this is something I should do.Sorry for the long-winded message.  But I hope it helps give you a better picture of my request!  Oh, and I have also had it recommended to me that I use a brick border around the grass to help keep it looking nice, so that is what the former quotes have also included.
Thanks in advance for your consideration.  I look forward to hearing from you.
Warm regards,
Sheri Carson
360-701-4332
W.B. 8/1
</t>
  </si>
  <si>
    <t>Chasse Building Team</t>
  </si>
  <si>
    <t>Phone:P  480.425.7777 Mobile:C 480.213.8062</t>
  </si>
  <si>
    <t>bobharrison@chasse.us</t>
  </si>
  <si>
    <t>230 S. Siesta Lane Tempe AZ 85288</t>
  </si>
  <si>
    <t>2016-08-05 00:00:00</t>
  </si>
  <si>
    <t>Chute, Ira &amp; Kirsten</t>
  </si>
  <si>
    <t>Mobile:256-9281</t>
  </si>
  <si>
    <t>chute.kirsten@gmail.com</t>
  </si>
  <si>
    <t>Ira &amp; Kirsten  Chute</t>
  </si>
  <si>
    <t>10962 E. Roscommon St. Tucson AZ 85747</t>
  </si>
  <si>
    <t>2016-06-15 00:00:00</t>
  </si>
  <si>
    <t>450</t>
  </si>
  <si>
    <t>*450 sq ft Ventana Mes. Light; 90' pavers
Houghton/Drexel;  TURF EST for approx. 450 sq ft; she asked about how far out installed and I told her first week of June.  W.B. 4/18</t>
  </si>
  <si>
    <t>Cienega High School</t>
  </si>
  <si>
    <t xml:space="preserve">Phone:(520) 879-2894 Fax:(520) 879-2801 </t>
  </si>
  <si>
    <t>hasseyn@vailschooldistrict.org</t>
  </si>
  <si>
    <t>Nemer  Hassey</t>
  </si>
  <si>
    <t>Mr. Nemer Hassey12775 E. Mary Ann Cleveland Way Vail AZ 85641</t>
  </si>
  <si>
    <t xml:space="preserve">Per Toby request on phone 8/17 W.B. </t>
  </si>
  <si>
    <t>Cole</t>
  </si>
  <si>
    <t xml:space="preserve">Phone:885-9650 </t>
  </si>
  <si>
    <t>n2mickey@cox.net</t>
  </si>
  <si>
    <t>Chuck &amp; Patti  Cole</t>
  </si>
  <si>
    <t>9652 E. Catalina Hills Rd. Tucson AZ 85748</t>
  </si>
  <si>
    <t>2016-05-31 00:00:00</t>
  </si>
  <si>
    <t>*600 sq ft Ventana Mesquite Light; sod removal
Broadway/Wilmot;  REPEAT customer for more turf--past job of two areas of 975 VMesLt at 7.95/sq ft; W.B. 4/7</t>
  </si>
  <si>
    <t>Cole, Jim</t>
  </si>
  <si>
    <t>Mobile:(520) 869-9144</t>
  </si>
  <si>
    <t>yogi_85711@yahoo.com</t>
  </si>
  <si>
    <t>Jim  Cole</t>
  </si>
  <si>
    <t>6121 E. 17th St. Tucson AZ 85711</t>
  </si>
  <si>
    <t>Cook, Jay</t>
  </si>
  <si>
    <t>Jay  Cook</t>
  </si>
  <si>
    <t>10643 E. Jensen St. Mesa AZ 85207</t>
  </si>
  <si>
    <t>2024-09-05 00:00:00</t>
  </si>
  <si>
    <t xml:space="preserve">15x15 sq ft Vent Mes Lt Toby Replacement Customer
</t>
  </si>
  <si>
    <t>Cory, Jon</t>
  </si>
  <si>
    <t xml:space="preserve">Phone:207-1576 </t>
  </si>
  <si>
    <t>joncory1980@gmail.com</t>
  </si>
  <si>
    <t>Jon  Cory</t>
  </si>
  <si>
    <t>5981 E. 23rd St. Tucson AZ 85711</t>
  </si>
  <si>
    <t>2016-07-27 00:00:00</t>
  </si>
  <si>
    <t>2055</t>
  </si>
  <si>
    <t>*2,055 sq ft Ventana Spring Light
22nd/Wilmot;  TURF EST for unknown area.  W.B. 5/17</t>
  </si>
  <si>
    <t>Crandall, Kelly</t>
  </si>
  <si>
    <t>Mobile:850-4374</t>
  </si>
  <si>
    <t>kcran670@gmail.com</t>
  </si>
  <si>
    <t>Kelly  Crandall</t>
  </si>
  <si>
    <t>670 N. Citrus Ave. Tucson AZ 85748</t>
  </si>
  <si>
    <t>2016-09-20 00:00:00</t>
  </si>
  <si>
    <t>*660 sq ft Ventana Spring Light (Randy doing work there before us)
Harrison/5th;  TURF EST for backyard area with three dogs.  W.B. 6/16</t>
  </si>
  <si>
    <t>Criger, Rod</t>
  </si>
  <si>
    <t>Mobile:490-0827</t>
  </si>
  <si>
    <t>resamarie6@yahoo.com</t>
  </si>
  <si>
    <t>Rod  Criger</t>
  </si>
  <si>
    <t>5814 S. Clonmellon Ave. Tucson AZ 85747</t>
  </si>
  <si>
    <t>2016-08-10 00:00:00</t>
  </si>
  <si>
    <t xml:space="preserve">Rita Ranch; confirmed with Theresa 8/4/16 W.B. </t>
  </si>
  <si>
    <t>Davis, J</t>
  </si>
  <si>
    <t xml:space="preserve">Phone:520-370-5903 </t>
  </si>
  <si>
    <t>azsandblaster@yahoo.com</t>
  </si>
  <si>
    <t>Jana  Davis</t>
  </si>
  <si>
    <t>3362 W. Marlene St. Tucson AZ 85741</t>
  </si>
  <si>
    <t>2016-07-13 00:00:00</t>
  </si>
  <si>
    <t xml:space="preserve">Houghton/Escalante;  TURF EST for backyard kidney shaped area approx. 41x9.  W.B. 7/7
</t>
  </si>
  <si>
    <t>Davis, Jim</t>
  </si>
  <si>
    <t>Phone:744-2687 Mobile:(520) 488-5763</t>
  </si>
  <si>
    <t>davisaero@comcast.net</t>
  </si>
  <si>
    <t>Jim  Davis</t>
  </si>
  <si>
    <t>7660 N. Bellweather Dr. Tucson AZ 85743</t>
  </si>
  <si>
    <t>Dean</t>
  </si>
  <si>
    <t xml:space="preserve">Phone:(580) 747-3145 </t>
  </si>
  <si>
    <t>jdean82003@yahoo.com</t>
  </si>
  <si>
    <t>Josh &amp; Erin  Dean</t>
  </si>
  <si>
    <t>7604 E. Shadybrook Ln Tucson AZ 85756</t>
  </si>
  <si>
    <t>Desert Toyota</t>
  </si>
  <si>
    <t xml:space="preserve">Phone:296-8535 </t>
  </si>
  <si>
    <t>jerryc@deserttoyota.com</t>
  </si>
  <si>
    <t>Jerry</t>
  </si>
  <si>
    <t>7150 E. 22 St Tucson AZ 85710</t>
  </si>
  <si>
    <t>615</t>
  </si>
  <si>
    <t>*615 sq ft Ventana Spring Light; sod removal; irr cap; run extension of existing poly line 20 feet for palm
I-10/Kolb;  TURF EST for existing grass area approx. 650 sq ft; ****USE GATE CODE 023 at gate phone***
W.B. 4/15</t>
  </si>
  <si>
    <t>Dickey, Kristi</t>
  </si>
  <si>
    <t>Phone:664-0929 Mobile:289-0177</t>
  </si>
  <si>
    <t>dickey522@yahoo.com</t>
  </si>
  <si>
    <t>Kristi  Dickey</t>
  </si>
  <si>
    <t>9281 S. Winter Wood Rd. Tucson AZ 85756</t>
  </si>
  <si>
    <t>2016-05-26 00:00:00</t>
  </si>
  <si>
    <t>550</t>
  </si>
  <si>
    <t>*550 Ventana SPRING (mom's) and 1035 sq ft Ventana Spring (hers); Zeofill
Your Hood;  TURF EST to replace existing grass.  W.B. 4/29
dickey522@yahoo.com</t>
  </si>
  <si>
    <t>Dugan, Chuck</t>
  </si>
  <si>
    <t>Phone:(520) 744-9431 Mobile:(520) 419-6343</t>
  </si>
  <si>
    <t>chuckd@astronomyadventuresaz.com</t>
  </si>
  <si>
    <t>Chuck  Dugan</t>
  </si>
  <si>
    <t>5840 N. Bridle Way Tucson AZ 85743</t>
  </si>
  <si>
    <t>2016-09-07 00:00:00</t>
  </si>
  <si>
    <t>*300 sq ft Ventana Spring Light; past customer needs new turf installed same area after garage installed.  
By Jim's House INA/BROOMTAIL; Had turf put in by us in 2011; had it pulled up and needs to be reinstalled; needs before 8 or after 4; please give him a labor/reinstall quote.   W.B. 7/12</t>
  </si>
  <si>
    <t>Duron, George</t>
  </si>
  <si>
    <t>Phone:281-2282 Mobile:980-6039</t>
  </si>
  <si>
    <t>GDuron@apacheproduce.com</t>
  </si>
  <si>
    <t>George  Duron</t>
  </si>
  <si>
    <t>1023 Pendleton Rio Rico AZ 85648</t>
  </si>
  <si>
    <t>2016-06-01 00:00:00</t>
  </si>
  <si>
    <t>*660 sq ft Ventana Spring Light (customer to remove flagstone and rock)
Rio Rico; TURF EST for area around pool. He works from 5-4 but will come home at this time***PLEASE CALL HIM WHEN 15 MINS OUT****.  W.B. 4/6
GDuron@apacheproduce.com</t>
  </si>
  <si>
    <t>Earls, Paul</t>
  </si>
  <si>
    <t>Mobile:(520) 885-3086</t>
  </si>
  <si>
    <t>darandpaul@aol.com</t>
  </si>
  <si>
    <t>Paul  Earls</t>
  </si>
  <si>
    <t>1949 N. Fountain Park Dr. Tucson AZ 85715</t>
  </si>
  <si>
    <t>Camino Seco/Wrightstown;  PUTTING GREEN EST; I gave him a ball park price to see if it was in his budget.  W.B. 5/27</t>
  </si>
  <si>
    <t>E-Corp</t>
  </si>
  <si>
    <t>Phone:O: (702) 479-7875 xt Fax:F: (702) 479-7876 Mobile:M: (505) 504-2445</t>
  </si>
  <si>
    <t>jenniffer@e-corp4u.com, shane.morris@e-corp4u.com</t>
  </si>
  <si>
    <t>720 W. Cheyenne Ave. Ste 220 N. Las Vegas NV 89030</t>
  </si>
  <si>
    <t>2016-06-30 00:00:00</t>
  </si>
  <si>
    <t>Shayne Morris called in 6/27 with info relayed to Toby for site visit today at DM</t>
  </si>
  <si>
    <t>FCA</t>
  </si>
  <si>
    <t>2018-07-20 00:00:00</t>
  </si>
  <si>
    <t xml:space="preserve">[https://statici.icloud.com/emailimages/v4/calendar/new/months/en_us/july@2x.png]
[https://statici.icloud.com/emailimages/v4/calendar/new/numbers/date_20@2x.png]
Jimmie Noriega invited you to “Jimmie out”.
when            All-Day, Friday, July 20, 2018
invitees                Wendy Bourguet&lt;mailto:wendy@tucsonturf.com&gt; and you.
See replies…&lt;https://www.icloud.com/calendar/eventreply/?t=2_GEYTQMJYHEYDCNZQGEYTQMJYHGVJVSHGCVNYKLE3VWIBKPRHIP34B52MI4W3ZF635BJZHPZT7JCUM&amp;p=&amp;cc=US&gt;
note            I will deal with existing apt
&lt;https://www.icloud.com/calendar/eventreply/?t=2_GEYTQMJYHEYDCNZQGEYTQMJYHGVJVSHGCVNYKLE3VWIBKPRHIP34B52MI4W3ZF635BJZHPZT7JCUM&amp;p=&amp;cc=US#reply=accept&gt;
[https://statici.icloud.com/emailimages/v4/common/new/btn_accept@2x.png]
Accept&lt;https://www.icloud.com/calendar/eventreply/?t=2_GEYTQMJYHEYDCNZQGEYTQMJYHGVJVSHGCVNYKLE3VWIBKPRHIP34B52MI4W3ZF635BJZHPZT7JCUM&amp;p=&amp;cc=US#reply=accept&gt;
&lt;https://www.icloud.com/calendar/eventreply/?t=2_GEYTQMJYHEYDCNZQGEYTQMJYHGVJVSHGCVNYKLE3VWIBKPRHIP34B52MI4W3ZF635BJZHPZT7JCUM&amp;p=&amp;cc=US#reply=decline&gt;
[https://statici.icloud.com/emailimages/v4/common/new/btn_decline@2x.png]
Decline&lt;https://www.icloud.com/calendar/eventreply/?t=2_GEYTQMJYHEYDCNZQGEYTQMJYHGVJVSHGCVNYKLE3VWIBKPRHIP34B52MI4W3ZF635BJZHPZT7JCUM&amp;p=&amp;cc=US#reply=decline&gt;
&lt;https://www.icloud.com/calendar/eventreply/?t=2_GEYTQMJYHEYDCNZQGEYTQMJYHGVJVSHGCVNYKLE3VWIBKPRHIP34B52MI4W3ZF635BJZHPZT7JCUM&amp;p=&amp;cc=US#reply=tentative&gt;
[https://statici.icloud.com/emailimages/v4/common/new/btn_maybe@2x.png]
Maybe&lt;https://www.icloud.com/calendar/eventreply/?t=2_GEYTQMJYHEYDCNZQGEYTQMJYHGVJVSHGCVNYKLE3VWIBKPRHIP34B52MI4W3ZF635BJZHPZT7JCUM&amp;p=&amp;cc=US#reply=tentative&gt;
Don’t recognize this sender? Report Junk.&lt;https://www.icloud.com/report_junk/?type=event-invite&amp;blob=&gt;
[https://statici.icloud.com/emailimages/v4/common/icloud_footer_signoff@2x.png]
iCloud is a service provided by Apple. Apple ID &lt;https://appleid.apple.com/choose-your-country/&gt; | Support &lt;https://www.apple.com/support/icloud/ww&gt; | Terms and Conditions &lt;https://www.apple.com/legal/internet-services/icloud/ww/&gt; | Privacy Policy &lt;https://www.apple.com/legal/internet-services/privacy/&gt;
Copyright © 2018 Apple Inc. One Apple Park Way, Cupertino, CA 95014 USA. All rights reserved.
[http://outsideapple.apple.com/img/APPLE_EMAIL_LINK/spacer4.gif?v=2&amp;a=%2Fhwu2YGWla01%2FWRxiHZhiv8UhBET5CEMbd1kbiAO6UaaxS9BCYd3KRofu6KzrTLSOLvuLxfZNY%2FwSHz5RljLxCsevzpgYEWlPNGdpPmzKUhj34YJeM0j8IFy%2BOfdGQ0%2BH9ojWpzfbLZMBPZCQFVGk8unZIGeXVUOHG6zghXgaP3mfaJcHyi5d3ekOZls80l%2FKOY%2FyWre7fnm5dal36B15TnMQmWLoQmoom8cOYT9N9o%2Fh1qYvHCRYcgQxE1rFaubhybx5e0rzZrxmb19nd%2Bhd8jvPtc90gshnokftvkF6MPviku8A8KF5MvyTiexB9WBhc%2Fc1c6bPP14Ssi0k0FcA8krVqG4M16cJXLrSZl8sYhjp0JIxzsxBCLCAqZ7URsX1iCrxTN0WU1q1WaTnnQaGw%3D%3D]
</t>
  </si>
  <si>
    <t>Frost</t>
  </si>
  <si>
    <t xml:space="preserve">Phone:529-4627 </t>
  </si>
  <si>
    <t>frosti954@comcast.net</t>
  </si>
  <si>
    <t>Joanne &amp; Ian  Frost</t>
  </si>
  <si>
    <t>5722 N. Via Umbrosa Tucson AZ 85750</t>
  </si>
  <si>
    <t>2016-06-22 00:00:00</t>
  </si>
  <si>
    <t>Meet Jon at his office at location at POSTER FROST MIRTO (above address) and walk to courthouse.  W.B. 6/17</t>
  </si>
  <si>
    <t>Genzman, Scott</t>
  </si>
  <si>
    <t>Mobile:577-4711</t>
  </si>
  <si>
    <t>sgfund@comcast.net</t>
  </si>
  <si>
    <t>Scott  Genzman</t>
  </si>
  <si>
    <t>5556 N. Via Girasol Tucson AZ 85750</t>
  </si>
  <si>
    <t>2016-08-24 00:00:00</t>
  </si>
  <si>
    <t>Sunrise/Craycroft;  PUTTING GREEN EST; asked for later appt.  W.B. 3/31
***REVISIT NOW THAT POOL IS DONE***W.B. 8/15</t>
  </si>
  <si>
    <t>Giachetti Construction:Kennedy</t>
  </si>
  <si>
    <t>jennygia@aol.com</t>
  </si>
  <si>
    <t>Kennedy</t>
  </si>
  <si>
    <t>4456 E. 4th St. Tucson AZ 85711</t>
  </si>
  <si>
    <t>2016-07-07 00:00:00</t>
  </si>
  <si>
    <t>520</t>
  </si>
  <si>
    <t>Houghton/Escalante; TURF EST for backyard area approx. 520 sq ft.  W.B. 7/6</t>
  </si>
  <si>
    <t>Giachetti Construction:Teeple</t>
  </si>
  <si>
    <t>Mobile:349-2809</t>
  </si>
  <si>
    <t>Teeple</t>
  </si>
  <si>
    <t>4630 N. Camino Gacela Tucson AZ 85718</t>
  </si>
  <si>
    <t>2016-06-08 00:00:00</t>
  </si>
  <si>
    <t>585</t>
  </si>
  <si>
    <t>*585 sq ft Ventana Spring Light; sod removal (USE MERRITT TURF ORDERED 5/25/16)
Skyline/Swan;  TURF EST for existing grass area; ***GATE CODE:  #0603   ; super hard to get on schedule.  W.B. 4/15</t>
  </si>
  <si>
    <t>Gil</t>
  </si>
  <si>
    <t>Gold, Ira</t>
  </si>
  <si>
    <t>Mobile:245-7486</t>
  </si>
  <si>
    <t>iragold@dakotacom.net</t>
  </si>
  <si>
    <t>Ira  Gold</t>
  </si>
  <si>
    <t>1516 S. Cactus Sand Pl. Tucson AZ 85748</t>
  </si>
  <si>
    <t>2016-09-08 00:00:00</t>
  </si>
  <si>
    <t>1560</t>
  </si>
  <si>
    <t>*1,560 sq ft. Ventana Mesquite Light; 10 tons 1/2 inch dec rock desert brown; 1 pony wall with stucco face (Randy)
22nd/Houghton;  TURF EST for unknown area.  W.B. 7/8
iragold@dakotacom.net</t>
  </si>
  <si>
    <t>Goodrich, Rob &amp; Raquel</t>
  </si>
  <si>
    <t xml:space="preserve">Phone:425-1303 </t>
  </si>
  <si>
    <t>raquel.goodrich@gmail.com</t>
  </si>
  <si>
    <t>Rob &amp; Raquel  Goodrich</t>
  </si>
  <si>
    <t>475 S. Lower Chord Rd. Vail AZ 85641</t>
  </si>
  <si>
    <t>2016-06-13 00:00:00</t>
  </si>
  <si>
    <t>1230</t>
  </si>
  <si>
    <t>*1,230 sq ft Ventana Mesquite Light
Corona De Tucson;  TURF EST for unknown area.  W.B. 4/12</t>
  </si>
  <si>
    <t>Grove</t>
  </si>
  <si>
    <t xml:space="preserve">Phone:400-4202 </t>
  </si>
  <si>
    <t>bkgaz2@gmail.com</t>
  </si>
  <si>
    <t>Brian  Grove</t>
  </si>
  <si>
    <t>8911 N. Mocha Place Tucson AZ 85743</t>
  </si>
  <si>
    <t>2016-05-25 00:00:00</t>
  </si>
  <si>
    <t>Orange Grove/La Canada;  TURF EST for unknown area.  W.B. 5/18
jhigaz22@comcast.net</t>
  </si>
  <si>
    <t>Haight, Jerry</t>
  </si>
  <si>
    <t xml:space="preserve">Phone:574-1040 </t>
  </si>
  <si>
    <t>jdh@jdhaight.com</t>
  </si>
  <si>
    <t>Jerry  Haight</t>
  </si>
  <si>
    <t>7133 E. Maritime Dr. Tucson AZ 85756</t>
  </si>
  <si>
    <t>Hand</t>
  </si>
  <si>
    <t xml:space="preserve">Phone:749-4538 </t>
  </si>
  <si>
    <t>rlytle@uiuc.edu</t>
  </si>
  <si>
    <t>Ray Lytle &amp;  Sally Hand</t>
  </si>
  <si>
    <t>10570 E. Eisenbergs Pl. Tucson AZ 85747-5877</t>
  </si>
  <si>
    <t>2016-07-21 00:00:00</t>
  </si>
  <si>
    <t xml:space="preserve">End of Speedway;  TURF EST for multiple areas around pool and around kids pool;  areas have some drainage issues when grass is watered, it seeps into indoor pool area; also may want to order a roll of turf to have on hand.  Please call his personal cell phone on way and can go to main office when arrive and they will radio him in.  (referred by Paul Peranzi) W.B. 7/13
</t>
  </si>
  <si>
    <t>Harrison</t>
  </si>
  <si>
    <t xml:space="preserve">Phone:396-4299 </t>
  </si>
  <si>
    <t>Chris  Harrison</t>
  </si>
  <si>
    <t>7501 E. Lester Circle Tucson AZ 85715</t>
  </si>
  <si>
    <t>Catalina Hwy/Harrison;  TURF EST for unknown area.  W.B. 6/6</t>
  </si>
  <si>
    <t>Harris, Sue</t>
  </si>
  <si>
    <t>Phone:790-9824 Mobile:401-3872</t>
  </si>
  <si>
    <t>soooz56@msn.com</t>
  </si>
  <si>
    <t>Sue  Harris</t>
  </si>
  <si>
    <t>1401 S. Dakota Sky Court Tucson AZ 85748</t>
  </si>
  <si>
    <t>2016-06-14 00:00:00</t>
  </si>
  <si>
    <t>*300 sq ft Tucson Pet Pro; rock removal
22nd St/Old Spanish Trail   Turf est; sq ft unknown  LL 4/12</t>
  </si>
  <si>
    <t>Henson, Les</t>
  </si>
  <si>
    <t>Phone:404-1775 Mobile:575-9013</t>
  </si>
  <si>
    <t>leshenson7@gmail.com</t>
  </si>
  <si>
    <t>Les  Henson</t>
  </si>
  <si>
    <t>12608 N. Sleeping Coyote Dr. Oro Valley AZ 85755</t>
  </si>
  <si>
    <t>2016-08-01 00:00:00</t>
  </si>
  <si>
    <t>465</t>
  </si>
  <si>
    <t>*465 sq ft Ventana Mesquite Light; rock removal; move small hot tub
Rancho Vistoso.  He would like a reminder call the day before or morning of appt.  Turf est/sq ft unknown.  LL  4/14</t>
  </si>
  <si>
    <t>Howard, Josiah</t>
  </si>
  <si>
    <t>Mobile:(520) 307-0588</t>
  </si>
  <si>
    <t>josiah.howard1@gmail.com</t>
  </si>
  <si>
    <t>Josiah  Howard</t>
  </si>
  <si>
    <t>2821 E. 3rd St. Tucson AZ 85716</t>
  </si>
  <si>
    <t>2016-09-28 00:00:00</t>
  </si>
  <si>
    <t>*450 sq ft Ventana Mes Lt.; 6 tons 1/2" dec rock (COLOR TBD); tree removal 
Magee/La Canada;  TURF EST for unknown area. W.B. 8/8</t>
  </si>
  <si>
    <t>Hunt, Jennifer</t>
  </si>
  <si>
    <t>Mobile:373-8106</t>
  </si>
  <si>
    <t>jahunt79@gmail.com</t>
  </si>
  <si>
    <t>Jennifer  Hunt</t>
  </si>
  <si>
    <t>4102 S. Snapdragon St. Tucson AZ 85730</t>
  </si>
  <si>
    <t>2016-07-12 00:00:00</t>
  </si>
  <si>
    <t>795</t>
  </si>
  <si>
    <t xml:space="preserve">*795 &amp; 180 sq ft Ventana Spring Light (2 areas); Zeofill
</t>
  </si>
  <si>
    <t>Johnson, Ryan</t>
  </si>
  <si>
    <t>Mobile:270-8742</t>
  </si>
  <si>
    <t>johnsory@icloud.com</t>
  </si>
  <si>
    <t>Ryan  Johnson</t>
  </si>
  <si>
    <t>6296 N. Pinnacle Ridge Dr. Tucson AZ 85718</t>
  </si>
  <si>
    <t>1545</t>
  </si>
  <si>
    <t>*1,545 sq ft Ventana Mesquite Light; rock removal
Skyline/Pontatoc;  TURF EST for GIFT CERT WINNER (who never got in touch with the lady who said she would be sending it to him so I told him you would take care of him); 250.00 gift cert winner from American Heart Assoc. Silent Auction; GATE CODE #0614; ***NEEDS AS EARLY AS POSSIBLE ON THAT MORNING SO IF YOU CAN COME EARLIER, PLEASE DO***
W.B. 3/4
****SWITCHED DATES TO JULY 13-14 from ORIG. 6/29-6/30 WITH CHULICK FOR DRAINAGE ISSUES****</t>
  </si>
  <si>
    <t>Jordan</t>
  </si>
  <si>
    <t xml:space="preserve">Phone:250-5671 </t>
  </si>
  <si>
    <t>n_hawtree@yahoo.com</t>
  </si>
  <si>
    <t>Nicole &amp; Patrick  Jordan</t>
  </si>
  <si>
    <t>1294 S. Paseo Luna Blanca Tucson AZ 85713</t>
  </si>
  <si>
    <t>2016-07-22 00:00:00</t>
  </si>
  <si>
    <t>Ft. Lowell/Columbus:  We did not put his existing turf in but he needs to get a quote on "spucing it up"/maintenance/or if that is a possibility.  W.B. 7/18</t>
  </si>
  <si>
    <t>JW Marriott</t>
  </si>
  <si>
    <t>Mobile:(520) 791-6119</t>
  </si>
  <si>
    <t>marni.bayes@marriott.com</t>
  </si>
  <si>
    <t>Starr Pass Resort &amp; Spa
3800 W. Starr Pass Blvd. Tucson AZ 85745</t>
  </si>
  <si>
    <t>2017-11-17 00:00:00</t>
  </si>
  <si>
    <t xml:space="preserve">Star Pass Resort;  TURF EST for pool area that they want done pretty immediately and they are using as a tester to determine if want to turf the other areas at the resort; park in loading dock area then call him and he will meet you.  W.B. 11/16
richard.wildman@marriott.com (contact form)
</t>
  </si>
  <si>
    <t>Kalinoski, Renee</t>
  </si>
  <si>
    <t xml:space="preserve">Phone:490-7680 </t>
  </si>
  <si>
    <t>Renee  Kalinoski</t>
  </si>
  <si>
    <t>7366 E. Placita Del Animo Tucson AZ 85715</t>
  </si>
  <si>
    <t>2016-08-13 00:00:00</t>
  </si>
  <si>
    <t>810</t>
  </si>
  <si>
    <t>*810 sq ft Ventana Spring Light</t>
  </si>
  <si>
    <t>Keller, Lyn</t>
  </si>
  <si>
    <t>Phone:(520) 298-0596 Mobile:(520) 419-7841</t>
  </si>
  <si>
    <t>lyn_keller@hotmail.com</t>
  </si>
  <si>
    <t>Lyn  Keller</t>
  </si>
  <si>
    <t>8421 E. Cresthill Dr. Tucson AZ 85750</t>
  </si>
  <si>
    <t>2016-07-14 00:00:00</t>
  </si>
  <si>
    <t>255</t>
  </si>
  <si>
    <t>*255 Sq Ft Ventana Mesquite Light
Sabino/Cloud;  TURF EST for small backyard area that is paver edged.  W.B. 6/17</t>
  </si>
  <si>
    <t xml:space="preserve">Phone:886-0107 </t>
  </si>
  <si>
    <t>rakennedy35@aol.com</t>
  </si>
  <si>
    <t>Roberta  Kennedy</t>
  </si>
  <si>
    <t>7243 E. Camino Vecino Tucson AZ 85715</t>
  </si>
  <si>
    <t>Kerr</t>
  </si>
  <si>
    <t xml:space="preserve">Phone:904-5575 </t>
  </si>
  <si>
    <t>Denise  Kerr</t>
  </si>
  <si>
    <t>18572 W. Avra Valley Rd Marana AZ 85653</t>
  </si>
  <si>
    <t xml:space="preserve">Twin Peaks/I-10;  TURF EST/MASONRY EST for unknown area.  W.B. 6/2
taj0013@icloud.com
</t>
  </si>
  <si>
    <t>LaFaye, Roger</t>
  </si>
  <si>
    <t>Mobile:(520) 891-9880</t>
  </si>
  <si>
    <t>rjlafaye@gmail.com</t>
  </si>
  <si>
    <t>Roger  LaFaye</t>
  </si>
  <si>
    <t>2540 E. Lomas Dr. Vail AZ 85641</t>
  </si>
  <si>
    <t>2016-08-16 00:00:00</t>
  </si>
  <si>
    <t>Ina/Sandario;  TURF EST for unknown area.  W.B. 8/9</t>
  </si>
  <si>
    <t>Lam, Carrol</t>
  </si>
  <si>
    <t>Mobile:327-4696</t>
  </si>
  <si>
    <t>thelams@dakotacom.net</t>
  </si>
  <si>
    <t>Carrol  Lam</t>
  </si>
  <si>
    <t>35 E. Calle Belleza Tucson AZ 85716</t>
  </si>
  <si>
    <t>720</t>
  </si>
  <si>
    <t>Broadway/Country Club;  TURF PROBLEM--installed 7/15 720 sq ft Vent Mes Lt--says a "chunk" of it is missing and needs to see how to fix it.  W.B. 7/21</t>
  </si>
  <si>
    <t>Land</t>
  </si>
  <si>
    <t>Cont. Ranch;  TURF EST and RUBBER FLOORING est for new gym.  W.B. 6/8</t>
  </si>
  <si>
    <t>Lanz, Melanie</t>
  </si>
  <si>
    <t xml:space="preserve">Phone:270-5745 </t>
  </si>
  <si>
    <t>melanie.lanz@comcast.net</t>
  </si>
  <si>
    <t>Melanie  Lanz</t>
  </si>
  <si>
    <t>8355 N. Douglas Fir Drive Tucson Az 85743</t>
  </si>
  <si>
    <t>2018-09-21 00:00:00</t>
  </si>
  <si>
    <t>420</t>
  </si>
  <si>
    <t xml:space="preserve">The Pines:  Repair estimate for customer we installed something called "TUCSON IDEAL TURF" 420 sq ft in 4/2011 and 195 sq ft in 6/2011.  Husband is off this Friday.  W.B. 9/18
</t>
  </si>
  <si>
    <t>Lewis, Steve &amp; Sheryl</t>
  </si>
  <si>
    <t>Mobile:307-2285</t>
  </si>
  <si>
    <t>stevenslewis@cox.net, sheryllewis@cox.net</t>
  </si>
  <si>
    <t>Steve &amp; Sheryl  Lewis</t>
  </si>
  <si>
    <t>2145 N. Split Rock Pl. Tucson AZ 85749</t>
  </si>
  <si>
    <t>2016-07-06 00:00:00</t>
  </si>
  <si>
    <t>1005</t>
  </si>
  <si>
    <t>*1005 sq ft Ventana Spring Light; sod removal
stevenslewis@cox.net</t>
  </si>
  <si>
    <t>Lott, Lynn</t>
  </si>
  <si>
    <t>Mobile:301-6820</t>
  </si>
  <si>
    <t>lottlynn@ymail.com</t>
  </si>
  <si>
    <t>Lynn  Lott</t>
  </si>
  <si>
    <t>6572 W. Whispering Windmill Lane Marana AZ 85658</t>
  </si>
  <si>
    <t>2016-06-06 00:00:00</t>
  </si>
  <si>
    <t>345</t>
  </si>
  <si>
    <t>*345 putting green; 270 Ventana Spring Light fringe; 3 pga
(Toby estimate)
Dove Mt. right past the Ritz;  TURF EST for unknown area.  W.B. 4/18</t>
  </si>
  <si>
    <t>Maloney, Chris</t>
  </si>
  <si>
    <t>Mobile:490-4756</t>
  </si>
  <si>
    <t>mchrismaloneysr@yahoo.com</t>
  </si>
  <si>
    <t>Chris  Maloney</t>
  </si>
  <si>
    <t>7080 E. Calle Morera Tucson AZ 85750</t>
  </si>
  <si>
    <t>*435 sq ft Ventana Spring Light; sod removal
Sabino Canyon/Cloud;  TURF EST for townhome backyard (we did his daughter's yard--Anne Donnellan in 3/2016 810 sq ft VMESLT at 7.45/sq. ft.and he likes hers).
W.B. 7/1</t>
  </si>
  <si>
    <t>Mammen, Werner &amp; Annie</t>
  </si>
  <si>
    <t>Mobile:(520) 869-9910</t>
  </si>
  <si>
    <t>awmammen@gmail.com</t>
  </si>
  <si>
    <t>Werner &amp; Annie  Mammen</t>
  </si>
  <si>
    <t>12563 N. Summer Wind Dr. Marana AZ 85658</t>
  </si>
  <si>
    <t>2016-08-08 00:00:00</t>
  </si>
  <si>
    <t>330</t>
  </si>
  <si>
    <t>*330 sq ft Ventana Mesquite Light; sod removal
Thornydale/Tangerine;  TURF EST for unknown area. ***FIND NAME ON DIRECTORY ON GATE AND SHE WILL BUZZ IN***
W.B. 5/31
amammen.tangerinenorthhoa@gmail.com</t>
  </si>
  <si>
    <t>Marley, Janice</t>
  </si>
  <si>
    <t>Mobile:(520) 490-1652</t>
  </si>
  <si>
    <t>janicecooks@cox.net</t>
  </si>
  <si>
    <t>Janice  Marley</t>
  </si>
  <si>
    <t>4370 E. Glenn St. Tucson AZ 85712</t>
  </si>
  <si>
    <t>2016-09-01 00:00:00</t>
  </si>
  <si>
    <t xml:space="preserve">When we originally spoke to Jimmie about getting turf he said that the ground would be:
 Leveled out to drain away from the house.
The existing steps would be pulled up and leveled with the grass installation.
The ground would be treated to prevent real grass coming up through the turf. 
I have attached two pictures to show that above was not done. 
We had a minor flood in our yard and you can see the water is draining toward the house. 
The grass is coming up around the steps.  
The steps where never taken up and leveled with the grass.
I did bring this up with the installers when the grass was laid. I was told that is was all good and not a problem.  As you can see it was not taken care of. 
I look forward to talking to someone about how this could be resolved.
Thanks,
Janice Marley
520-490-1652Hi Wendy, 
Thank you all for resolving this. September 1 in the afternoon will work with my schedule. A call when they are on the way would be greatly appreciated. 
490-1652 is the best number to reach me at.
Thank you!
Janice Marley
</t>
  </si>
  <si>
    <t>Massa, Candice</t>
  </si>
  <si>
    <t>Mobile:269-3668</t>
  </si>
  <si>
    <t>candymassa@gmail.com</t>
  </si>
  <si>
    <t>Candice  Massa</t>
  </si>
  <si>
    <t>11370 W. Farm Village Dr. Marana AZ 85653</t>
  </si>
  <si>
    <t>2016-07-26 00:00:00</t>
  </si>
  <si>
    <t>390</t>
  </si>
  <si>
    <t>*390 sq ft Ventana Spring Light; sod removal
Gladden Farms;  TURF EST for approx. 250 sq ft.  W.B. 11/12
candymassa@gmail.com</t>
  </si>
  <si>
    <t>McKenna, John</t>
  </si>
  <si>
    <t>Mobile:444-5873</t>
  </si>
  <si>
    <t>jiaafam4@comcast.net</t>
  </si>
  <si>
    <t>John  McKenna</t>
  </si>
  <si>
    <t>12893 N. Desert Olive Dr. Oro Valley AZ 85755</t>
  </si>
  <si>
    <t>2016-08-17 00:00:00</t>
  </si>
  <si>
    <t>750</t>
  </si>
  <si>
    <t>*750 sq ft Ventana Spring Light; sod removal
La Canada/Moore;  TURF EST for unknown area; meeting with John (homeowner) and PRESTON (landscaper) who made the appointment who can be reached at 977-7631.  W.B. 6/6</t>
  </si>
  <si>
    <t>McMillin, Robert</t>
  </si>
  <si>
    <t>Mobile:297-9978</t>
  </si>
  <si>
    <t>cemrem@comcast.net</t>
  </si>
  <si>
    <t>Robert  McMillin</t>
  </si>
  <si>
    <t>343 W. Meadowbrook Tucson AZ 85704</t>
  </si>
  <si>
    <t>2019-06-04 00:00:00</t>
  </si>
  <si>
    <t xml:space="preserve">Oracle/Calle Concordia;  TURF EST for unknown area.  W.B. 4/12
</t>
  </si>
  <si>
    <t>McMurray, Justin</t>
  </si>
  <si>
    <t>Mobile:(316) 706-0856</t>
  </si>
  <si>
    <t>jwmcfuzz@hotmail.com</t>
  </si>
  <si>
    <t>Justin  McMurray</t>
  </si>
  <si>
    <t>6519 W. Wolf Valley Way Tucson AZ 85757</t>
  </si>
  <si>
    <t>2016-08-18 00:00:00</t>
  </si>
  <si>
    <t>1455</t>
  </si>
  <si>
    <t>*1455 sq ft Ventana Spring Light (per Jimmie is easy)
Star Valley;  TURF EST for unknown area.  W.B. 7/29</t>
  </si>
  <si>
    <t>Merritt, John</t>
  </si>
  <si>
    <t>Mobile:343-4899</t>
  </si>
  <si>
    <t>jttmerritt@msn.com</t>
  </si>
  <si>
    <t>John  Merritt</t>
  </si>
  <si>
    <t>10684 S. Miramar Canyon Pass Vail AZ 85641</t>
  </si>
  <si>
    <t>Per Jimmie request 5/18</t>
  </si>
  <si>
    <t>Mike</t>
  </si>
  <si>
    <t>4422 East Indian School Road, Suite 101 Phoenix AZ 85018</t>
  </si>
  <si>
    <t>2016-06-17 00:00:00</t>
  </si>
  <si>
    <t>Cont. Reserve;  TURF/PAVER EST for repeat customer who is at new house (last job was 600 sq ft of Marquee Pro at 8.25/sq ft);  W.B. 
6/6
amseno@comcast.net</t>
  </si>
  <si>
    <t>Molina, Esau</t>
  </si>
  <si>
    <t>Mobile:484-3134</t>
  </si>
  <si>
    <t>montanarealtyco78@yahoo.com</t>
  </si>
  <si>
    <t>Esau  Molina</t>
  </si>
  <si>
    <t>3500 W. Lost Village Lane Tucson AZ 85746</t>
  </si>
  <si>
    <t>270</t>
  </si>
  <si>
    <t xml:space="preserve">*270 sq ft Ventana Spring Light
Valencia/Camino de La Tierra;  TURF EST for approx. 14x18 piece.  W.B. 5/31
montanarealtyco78@yahoo.com
</t>
  </si>
  <si>
    <t>Mooney, Sean</t>
  </si>
  <si>
    <t>Mobile:271-2878</t>
  </si>
  <si>
    <t>maryliz.vega@gmail.com, smooneyreel@gmail.com</t>
  </si>
  <si>
    <t>Sean  Mooney</t>
  </si>
  <si>
    <t>5702 N. Lady Lane Tucson AZ 85704</t>
  </si>
  <si>
    <t>2016-10-05 00:00:00</t>
  </si>
  <si>
    <t>180</t>
  </si>
  <si>
    <t>*180 sq ft Ventana Spring Light; Zeofill Upgrade
Oracle/Rudasill;  TURF EST for approx. 70 sq ft (I told him we might have stuff on hand instead of ordering which may "discount"; gave him 8.95-10.95 price range on normall installs prior to him telling me it was only 70 sq ft but maybe St. Mark's or St. Thomas melted leftovers would work).  W.B. 8/18</t>
  </si>
  <si>
    <t>Muhlestein, Judy</t>
  </si>
  <si>
    <t>Mobile:(520) 909-4102</t>
  </si>
  <si>
    <t>angelicastucson@gmail.com</t>
  </si>
  <si>
    <t>Judy  Muhlestein</t>
  </si>
  <si>
    <t>5831 E. Placita Alta Reposa Tucson AZ 85750</t>
  </si>
  <si>
    <t>2016-09-29 00:00:00</t>
  </si>
  <si>
    <t>495</t>
  </si>
  <si>
    <t>*495 sq ft Ventana Mesquite Light; Drain; grade issues
Sunrise/Craycroft (near Ventana); TURF EST for area where there used to be artificial turf; they removed but are having grading issues with water build up on their patio.  W.B. 6/21
*****ORIGINALLY SCHEDULED FOR INSTALL 8/8 BUT DRAINAGE ISSUES*******</t>
  </si>
  <si>
    <t>Murrieta, Paul</t>
  </si>
  <si>
    <t>Mobile:955-0700</t>
  </si>
  <si>
    <t>pmurrieta@oasiscoolingheating.com</t>
  </si>
  <si>
    <t>Paul  Murrieta</t>
  </si>
  <si>
    <t>1850 N. Camino De Oeste Tucson AZ 85745</t>
  </si>
  <si>
    <t>825</t>
  </si>
  <si>
    <t>*825 sq ft Diamond Spring Light;
Ironwood Hill/Camino De Oeste;  TURF EST for unknown area; has existing turf but can't remember who put it in two years ago...not us  W.B. 5/3</t>
  </si>
  <si>
    <t>Navallez, Rebecca</t>
  </si>
  <si>
    <t>Mobile:481-6060</t>
  </si>
  <si>
    <t>rebeccalg14@hotmail.com</t>
  </si>
  <si>
    <t>Rebecca  Navallez</t>
  </si>
  <si>
    <t>9489 E. Blue Denim Dr. Tucson AZ 85750</t>
  </si>
  <si>
    <t>375</t>
  </si>
  <si>
    <t>*375 Sq ft Aloha Plus (Everlast Mid); rock removal (also bring 6x6 ish dog mat for dog)
*DELAYED TWICE (now in July per customer request)
Golf Links/Harrison;  TURF EST/MASONRY EST for backyard area; unknown sq ft.  W.B. 2/25
rebeccalg14@hotmail.com</t>
  </si>
  <si>
    <t>Norton, Sony</t>
  </si>
  <si>
    <t>Mobile:(303) 751-7971</t>
  </si>
  <si>
    <t>sonynorton@gmail.com</t>
  </si>
  <si>
    <t>Sony  Norton</t>
  </si>
  <si>
    <t>6112 W. Bandelier Ct. Tucson AZ 85742</t>
  </si>
  <si>
    <t>2016-08-23 00:00:00</t>
  </si>
  <si>
    <t>765</t>
  </si>
  <si>
    <t xml:space="preserve">*765 sq ft Ventana Spring LIght
Twin Peaks/Oasis;  TURF EST for backyard area.  W.B. 6/6
sonynorton@gmail.com
</t>
  </si>
  <si>
    <t>O</t>
  </si>
  <si>
    <t xml:space="preserve">Phone:395-2586 </t>
  </si>
  <si>
    <t>sangandcherylo@gmail.com</t>
  </si>
  <si>
    <t>Sang &amp; Cheryl  O</t>
  </si>
  <si>
    <t>10432 E. Placita Guanajuato Tucson AZ 85749</t>
  </si>
  <si>
    <t>Orlando, Jake</t>
  </si>
  <si>
    <t>Mobile:820-3694</t>
  </si>
  <si>
    <t>jorlando@imsmetals.com</t>
  </si>
  <si>
    <t>Jake  Orlando</t>
  </si>
  <si>
    <t>12493 N. Summer Wind Dr. Marana AZ 85658</t>
  </si>
  <si>
    <t>*825 Diamond Mesquite (confirm); Pavers
Thornydale/Tangerine;  TURF EST/MASONRY for new construction backyard. ******GATE CODE:  0404
W.B. 6/13</t>
  </si>
  <si>
    <t>Panico, James</t>
  </si>
  <si>
    <t>Mobile:(520) 820-2638</t>
  </si>
  <si>
    <t>jmspanico@gmail.com</t>
  </si>
  <si>
    <t>James  Panico</t>
  </si>
  <si>
    <t>5065 E. Placita Salud Tucson AZ 85718</t>
  </si>
  <si>
    <t>2016-08-04 00:00:00</t>
  </si>
  <si>
    <t>Paul</t>
  </si>
  <si>
    <t>Pioneer Landscape Centers:Putting Green</t>
  </si>
  <si>
    <t xml:space="preserve">Phone:(520) 744-8700 </t>
  </si>
  <si>
    <t>scott.anderson@pioneerco.com</t>
  </si>
  <si>
    <t>Putting Green</t>
  </si>
  <si>
    <t>9353 N Casa Grande Hwy Tucson AZ 85743</t>
  </si>
  <si>
    <t>Pitts, Christina</t>
  </si>
  <si>
    <t>Mobile:247-4776</t>
  </si>
  <si>
    <t>entasis@aol.com</t>
  </si>
  <si>
    <t>Christina  Pitts</t>
  </si>
  <si>
    <t>12850 N. Bandanna Way Oro Valley AZ 85755</t>
  </si>
  <si>
    <t xml:space="preserve">*375 sq ft Ventana Mesquite Light
Rancho Vistoso/Oracle;  </t>
  </si>
  <si>
    <t>Plummer, Lori</t>
  </si>
  <si>
    <t>Mobile:664-6666</t>
  </si>
  <si>
    <t>adorkbl@gmail.com</t>
  </si>
  <si>
    <t>Lori  Plummer</t>
  </si>
  <si>
    <t>9884 N. Longford Dr. Tucson AZ 85742</t>
  </si>
  <si>
    <t>2016-06-16 00:00:00</t>
  </si>
  <si>
    <t>525</t>
  </si>
  <si>
    <t>*525 sq ft Ventana Spring Light; rock removal</t>
  </si>
  <si>
    <t>Quinn, Julie &amp; Stallings, Sandra</t>
  </si>
  <si>
    <t>Mobile:(303) 818-7675</t>
  </si>
  <si>
    <t>jquinn3553@gmail.com</t>
  </si>
  <si>
    <t>Quinn, Julie &amp;  Stallings, Sandra</t>
  </si>
  <si>
    <t>7860 E. Benson Hwy Tucson AZ 85756</t>
  </si>
  <si>
    <t>*450 sq ft Ventana Mesquite Light; irrigation with 100' poly line, time, valve
Voyager RV Park;  TURF EST for lady waiting on getting into her house so meet her where she is currently staying (gave me number 11189 and says guard will help you find) in the Park Models.  W.B. 8/2</t>
  </si>
  <si>
    <t>Quiroga, Ralph</t>
  </si>
  <si>
    <t>Mobile:(206) 769-6305</t>
  </si>
  <si>
    <t>ralphquiroga@hotmail.com</t>
  </si>
  <si>
    <t>Ralph  Quiroga</t>
  </si>
  <si>
    <t>7735 E. Castle Valley Way Tucson AZ 85750</t>
  </si>
  <si>
    <t>2016-06-27 00:00:00</t>
  </si>
  <si>
    <t>*720 sq ft Ventana Mesquite Light pool wrap; 17' Belgard Pavers (color:  tbd)
Sunrise/Sabino Canyon.  Turf est/sq ft unknown.  LL  4/14</t>
  </si>
  <si>
    <t>Reidhead, Allison</t>
  </si>
  <si>
    <t>Mobile:927-4683</t>
  </si>
  <si>
    <t>allisonreidhead@gmail.com</t>
  </si>
  <si>
    <t>Allison  Reidhead</t>
  </si>
  <si>
    <t>8768 W. Saguaro Moon Rd. Marana AZ 85653</t>
  </si>
  <si>
    <t>645</t>
  </si>
  <si>
    <t>*645 sq ft Ventana Spring LIght
Saguaro Bloom (Twin Peaks/Silverbell);  TURF/MASONRY EST for backyard area; Allison is off Thursday.  W.B. 5/10
allisonreidhead@gmail.com</t>
  </si>
  <si>
    <t>Reid Park Zoo</t>
  </si>
  <si>
    <t>Phone:(520) 881-4753 Mobile:(520) 837-8221</t>
  </si>
  <si>
    <t>Gail@reidparkzoo.org</t>
  </si>
  <si>
    <t>3400 E Zoo Ct. Tucson AZ 85716</t>
  </si>
  <si>
    <t xml:space="preserve">Measure areas in front and in play area per Toby request 8/17 on phone.  W.B. </t>
  </si>
  <si>
    <t>Reliable Landscaping</t>
  </si>
  <si>
    <t>Phone:(520) 742-7733 Fax:(520) 878-9273 Mobile:272-3141</t>
  </si>
  <si>
    <t>focused@reliablelandscapeservices.com</t>
  </si>
  <si>
    <t>Jeff</t>
  </si>
  <si>
    <t>7320 N. La Cholla Blvd., #154-137 Tucson AZ 85741</t>
  </si>
  <si>
    <t>2016-06-21 00:00:00</t>
  </si>
  <si>
    <t>Tanque Verde/Houghton;  TURF AND IRRIGATION EST for backyard.  W.B. 6/14</t>
  </si>
  <si>
    <t>Reliable Landscaping:1133 W. Saddlehorn</t>
  </si>
  <si>
    <t xml:space="preserve">Phone:272-3141 </t>
  </si>
  <si>
    <t>Reliable Landscape Services7320 N. La Cholla Blvd., #154-137 Tucson AZ 85741</t>
  </si>
  <si>
    <t>Reliable Landscaping:1265 W. Versilia Drive</t>
  </si>
  <si>
    <t>1265 W. Versilia Drive Oro Valley AZ 85755</t>
  </si>
  <si>
    <t>RETAIL</t>
  </si>
  <si>
    <t>2021-09-24 00:00:00</t>
  </si>
  <si>
    <t xml:space="preserve">Pool wrap 1,350sq', sod removal.
Childhood friend of mine.
</t>
  </si>
  <si>
    <t>Richard</t>
  </si>
  <si>
    <t xml:space="preserve">Phone:572-6382 </t>
  </si>
  <si>
    <t>davidalanrichard@yahoo.com</t>
  </si>
  <si>
    <t>David  Richard</t>
  </si>
  <si>
    <t>5565 N. Durham Hills St. Marana AZ 85658</t>
  </si>
  <si>
    <t>Rich, Melissa</t>
  </si>
  <si>
    <t>Mobile:(520) 406-0689</t>
  </si>
  <si>
    <t>arichexperience@hotmail.com</t>
  </si>
  <si>
    <t>Melissa  Rich</t>
  </si>
  <si>
    <t>264 E. Painted Pottery Pl. Oro Valley AZ 85755</t>
  </si>
  <si>
    <t>*375 sq ft Ventana mesquite Light; move play system
Per Toby 8/17</t>
  </si>
  <si>
    <t>Ridge, Jim</t>
  </si>
  <si>
    <t>Mobile:(520) 891-9517</t>
  </si>
  <si>
    <t>theridges@cox.net</t>
  </si>
  <si>
    <t>Jim  Ridge</t>
  </si>
  <si>
    <t>5780 E. 14th St. Tucson AZ 85711</t>
  </si>
  <si>
    <t>2016-08-29 00:00:00</t>
  </si>
  <si>
    <t>*585 sq ft Ventana Mesquite Light; sod removal
Broadway/Craycroft;  TURF EST for unknown area; needs late afternoons.  W.B. 6/24</t>
  </si>
  <si>
    <t>Rob</t>
  </si>
  <si>
    <t>*360 sq ft Two Tone Putt; 405 sq ft Vent. Mesquite Light; over existing green
Ina/Shannon; TURF EST; Toby sent past estimate dated 3/3/16 sent to you in email; wants to add more turf; wife home but needs to leave by 10:30so if can get there earlier, swell:)  
always620@centurylink.net&gt;</t>
  </si>
  <si>
    <t>Rowe, Dan</t>
  </si>
  <si>
    <t>Mobile:(520) 360-9372</t>
  </si>
  <si>
    <t>dangrowe14@gmail.com</t>
  </si>
  <si>
    <t>Dan  Rowe</t>
  </si>
  <si>
    <t>6851 E. Baker St. Tucson AZ 85710</t>
  </si>
  <si>
    <t xml:space="preserve">Speedway/Kolb;  TURF ISSUE--NEED TO LOOK AT 6/2014 install of 600 sq ft of Tucson Pro IV; had major leak and needs to see if turf is bad or whatever; PLEASE CALL ON WAY.  W.B. 7/7
**************Hi Wendy,the 27th is fine.  As we get closer to that date, please give me an
arrival time window and have the crew call me 30 - 45 minutes before
they are expected to reach our home.
Thank you,
Dan************************
</t>
  </si>
  <si>
    <t>Roy, Kandi</t>
  </si>
  <si>
    <t>Phone:(520) 260-4462 Mobile:(970) 819-6868</t>
  </si>
  <si>
    <t>reelbigfishii@aol.com</t>
  </si>
  <si>
    <t>Kandi  Roy</t>
  </si>
  <si>
    <t>1217 N. Marshview Lane Green Valley AZ 85614</t>
  </si>
  <si>
    <t>2018-01-22 00:00:00</t>
  </si>
  <si>
    <t xml:space="preserve">*300 sq ft Ventana Mesquite Light; Zeofill
Green Valley; SET UP PER JIMMIE ICAL 1/9
</t>
  </si>
  <si>
    <t>Ryals, Jeff</t>
  </si>
  <si>
    <t>Mobile:(520) 255-5979</t>
  </si>
  <si>
    <t>jeffryals@hotmail.com</t>
  </si>
  <si>
    <t>Jeff  Ryals</t>
  </si>
  <si>
    <t>1407 San Simeon Dr. Sierra Vista AZ 85635</t>
  </si>
  <si>
    <t>2016-07-20 00:00:00</t>
  </si>
  <si>
    <t>*1,020 sq ft Ventana Spring Light; remove half of rock
Sierra Vista</t>
  </si>
  <si>
    <t>Solana:Marriot</t>
  </si>
  <si>
    <t>Marriot</t>
  </si>
  <si>
    <t>Tucson AZ</t>
  </si>
  <si>
    <t>Spahr, Gail</t>
  </si>
  <si>
    <t>Mobile:907-1046</t>
  </si>
  <si>
    <t>gksrtm@aol.com</t>
  </si>
  <si>
    <t>Gail  Spahr</t>
  </si>
  <si>
    <t>11380 N. Meadow Sage Dr. Tucson AZ 85737</t>
  </si>
  <si>
    <t>2016-05-24 00:00:00</t>
  </si>
  <si>
    <t>La Cholla/Naranja</t>
  </si>
  <si>
    <t>Stensrud, Jeff</t>
  </si>
  <si>
    <t>Mobile:575-6093</t>
  </si>
  <si>
    <t>jeffstensrud@gmail.com</t>
  </si>
  <si>
    <t>Jeff  Stensrud</t>
  </si>
  <si>
    <t>1621 W. Montenegro Dr. Tucson AZ 85704</t>
  </si>
  <si>
    <t>510</t>
  </si>
  <si>
    <t xml:space="preserve">*510 sq ft Ventana Mesquite Light; dirt removal
Ina/La Canada;  TURF EST for someone Jimmie texted me about; no other info given.  W.B. 5/16
 </t>
  </si>
  <si>
    <t>St. Mark's Early Childhood Center</t>
  </si>
  <si>
    <t xml:space="preserve">Phone:797-2925 </t>
  </si>
  <si>
    <t>stmarksecc@earthlink.net</t>
  </si>
  <si>
    <t>Judy</t>
  </si>
  <si>
    <t>1431 W. Magee Rd. Tucson AZ 85704</t>
  </si>
  <si>
    <t>2016-07-16 00:00:00</t>
  </si>
  <si>
    <t>*900 sq ft Ventana Mesquite Light; sod removal
49rs area;  TURF EST for lady who "can't get anyone to come out there and look at her turf"; wants it done asap so seems motivated.  W.B. 3/22
***HAD HELD 8/10 for her but Jimmie said cannot get a hold of/cannot get deposit, etc.*****</t>
  </si>
  <si>
    <t>Stratford Management</t>
  </si>
  <si>
    <t xml:space="preserve">Phone:795-6500 </t>
  </si>
  <si>
    <t>monica@stratfordmanagement.org</t>
  </si>
  <si>
    <t>Monica</t>
  </si>
  <si>
    <t>1790 E. River Road Tucson AZ</t>
  </si>
  <si>
    <t>2018-01-23 00:00:00</t>
  </si>
  <si>
    <t xml:space="preserve">Fyi from Sean Get Outlook for Android
________________________________
From: Wendy Bourguet
Sent: Thursday, January 18, 2018 7:34:27 PM (UTC) Coordinated Universal Time
To: Jimmie Noriega; Toby Bourguet; Kendra Sewell; monica.roebuck@gmail.com; Aaron Ramirez; robbybourguet9@gmail.com
Subject: EMPLOYEE MEETING
When: Tuesday, January 23, 2018 10:00 PM-11:00 PM.
Where: 7751 N Via Atascadero (7751 N Via Atascadero, Marana, AZ 85743, United States)
TO DISCUSS REPLACEMENT PLAN
</t>
  </si>
  <si>
    <t>Stratford Management:Ironwood Canyon</t>
  </si>
  <si>
    <t>Strauch, Len</t>
  </si>
  <si>
    <t>Mobile:(773) 879-6311</t>
  </si>
  <si>
    <t>lens22nm@att.net</t>
  </si>
  <si>
    <t>Len  Strauch</t>
  </si>
  <si>
    <t>3120 N. Camino De Oeste Tucson AZ 85745</t>
  </si>
  <si>
    <t>2016-06-07 00:00:00</t>
  </si>
  <si>
    <t>*825 sq ft Ventana Spring Light (no sod removal)
Silverbell/Sweetwater;  TURF EST for unknown area for a guy who lives in Chicago who rents out property.  W.B. 3/29
lens22nm@att.net</t>
  </si>
  <si>
    <t>Struse, Tim</t>
  </si>
  <si>
    <t>Mobile:260-7377</t>
  </si>
  <si>
    <t>timstruse@gmail.com</t>
  </si>
  <si>
    <t>Tim  Struse</t>
  </si>
  <si>
    <t>1542 W. Sage Brook Ct. Oro Valley AZ 85737</t>
  </si>
  <si>
    <t>570</t>
  </si>
  <si>
    <t>*570 sq ft Ventana Spring Light; sod removal; irr cap
Tangerine/La Canada;  TURF EST for unknown area; wanted weekend estimate but worked this time out.  W.B. 8/15</t>
  </si>
  <si>
    <t>St. Thomas Preschool</t>
  </si>
  <si>
    <t>Phone:577-0503 ext. 120 Mobile:520-631-1522 Michelle</t>
  </si>
  <si>
    <t>sthomaspreschool@gmail.com</t>
  </si>
  <si>
    <t>5150 N. Valley View Rd. Tucson AZ 85718</t>
  </si>
  <si>
    <t>2016-07-18 00:00:00</t>
  </si>
  <si>
    <t>1400</t>
  </si>
  <si>
    <t>*1400 sq ft Tucson Premium Play Turf; 900 sq ft Foam Padding for fall zones;
Swan/Sunrise;  TURF EST for unknown area set up by Toby.  W.B. 5/3</t>
  </si>
  <si>
    <t>Terra Environmental Services LLC:Newman</t>
  </si>
  <si>
    <t>Fax:Fax: 520-219-9393 Mobile:(520) 861-4792</t>
  </si>
  <si>
    <t>liv1des@netscape.net</t>
  </si>
  <si>
    <t>Newman</t>
  </si>
  <si>
    <t>961 E. Calle Mariposa Tucson AZ 85718</t>
  </si>
  <si>
    <t>2016-08-11 00:00:00</t>
  </si>
  <si>
    <t>920 sq'  ventana mesquite lt</t>
  </si>
  <si>
    <t>Test</t>
  </si>
  <si>
    <t>2016-07-15 00:00:00</t>
  </si>
  <si>
    <t>blah adjflkdjfkldjfkdjfkdjfkdj  kdlLl  7/15</t>
  </si>
  <si>
    <t>TMC Landscape</t>
  </si>
  <si>
    <t>Dan</t>
  </si>
  <si>
    <t>TOBY B</t>
  </si>
  <si>
    <t>TOBY  B</t>
  </si>
  <si>
    <t>Total Construction &amp; Design:Moore</t>
  </si>
  <si>
    <t xml:space="preserve">Phone:906-8018 </t>
  </si>
  <si>
    <t>jrusselltcd@comcast.net</t>
  </si>
  <si>
    <t>Moore</t>
  </si>
  <si>
    <t>7781 S. Ave De Belleza Tucson AZ 85747</t>
  </si>
  <si>
    <t>Trails West</t>
  </si>
  <si>
    <t>Phone:574-0298 Mobile:909-3994</t>
  </si>
  <si>
    <t>office@trailswest.net</t>
  </si>
  <si>
    <t>Ken</t>
  </si>
  <si>
    <t>Attn:  Ken8401 S. Kolb Tucson AZ 85756</t>
  </si>
  <si>
    <t>PER KENDRA TEXT 6/27</t>
  </si>
  <si>
    <t>Triplestack Creative Limited Liability Co.</t>
  </si>
  <si>
    <t>.</t>
  </si>
  <si>
    <t>206 Thompson Dr. Richardson TX 75080</t>
  </si>
  <si>
    <t>Tucson Country Club</t>
  </si>
  <si>
    <t xml:space="preserve">Phone:298-2381 </t>
  </si>
  <si>
    <t>troyfinley44@aol.com</t>
  </si>
  <si>
    <t>Troy  Finley</t>
  </si>
  <si>
    <t>2950 N Camino Principal Tucson AZ 85715-3113</t>
  </si>
  <si>
    <t>Tucson Country Club;  PUTTING GREEN REPLACEMENT for Tommy Sullivan, Jr.'s house (that is what it said on parcel search) :) you are meeting with Hal who is the owner of Builders of America for his client.  W.B. 6/8
TOO FUNNY!!!!!!!!!!!!!!</t>
  </si>
  <si>
    <t>Tucson Sportspark</t>
  </si>
  <si>
    <t xml:space="preserve">Phone:400-8323 </t>
  </si>
  <si>
    <t>championshipsports1@gmail.com</t>
  </si>
  <si>
    <t>Lou</t>
  </si>
  <si>
    <t>Tucson SportsPark6901 N. Casa Grande Hwy. Tucson AZ 85743</t>
  </si>
  <si>
    <t>Tucson Sportspark:Overseeding 2011</t>
  </si>
  <si>
    <t>Tucson Turf</t>
  </si>
  <si>
    <t>2017-01-11 00:00:00</t>
  </si>
  <si>
    <t xml:space="preserve">Per Toby request for 2017 planning
</t>
  </si>
  <si>
    <t>Tutalo, Judy</t>
  </si>
  <si>
    <t>Phone:272-4084 Mobile:760-1746</t>
  </si>
  <si>
    <t>Judy  Tutalo</t>
  </si>
  <si>
    <t>2971 N. Wentworth Rd. Tucson AZ 85749</t>
  </si>
  <si>
    <t>Vail Christian Church</t>
  </si>
  <si>
    <t xml:space="preserve">Phone:(520) 400-9627 </t>
  </si>
  <si>
    <t>ben@vailchristian.com</t>
  </si>
  <si>
    <t>9455 E. Valencia Rd. Tucson AZ 85747</t>
  </si>
  <si>
    <t>2016-06-24 00:00:00</t>
  </si>
  <si>
    <t>Valencia/Houghton;  TURF EST for Church; is interested in installed pricing and turf only pricing as he believes his congregation will provide all the labor; told him you would show split pricing; go into church to office area to locate Ben.  W.B. 6/23</t>
  </si>
  <si>
    <t>Vera</t>
  </si>
  <si>
    <t xml:space="preserve">Phone:624-2834 </t>
  </si>
  <si>
    <t>lvera05@yahoo.com</t>
  </si>
  <si>
    <t>Leo &amp; Lori  Vera</t>
  </si>
  <si>
    <t>1011 N. Columbia Tucson AZ 85745</t>
  </si>
  <si>
    <t>Verity, Peter</t>
  </si>
  <si>
    <t>Mobile:720-6211</t>
  </si>
  <si>
    <t>tucsonmema@icloud.com</t>
  </si>
  <si>
    <t>Peter  Verity</t>
  </si>
  <si>
    <t>332 W. Andrew Potter St. Vail AZ 85641</t>
  </si>
  <si>
    <t>540</t>
  </si>
  <si>
    <t>*540 sq ft Ventana Spring Light
Corona De Tucson;  TURF EST for unknown area.  W.B. 7/6</t>
  </si>
  <si>
    <t>Wagner</t>
  </si>
  <si>
    <t>Skyline/Campbell;  TURF EST for backyard area where there would be tree/plant removal; needs late afternoon appts.  W.B. 6/21</t>
  </si>
  <si>
    <t>Wall</t>
  </si>
  <si>
    <t xml:space="preserve">Phone:405-6316 </t>
  </si>
  <si>
    <t>DRWALLINC@earthlink.net</t>
  </si>
  <si>
    <t>Dennis  Wall</t>
  </si>
  <si>
    <t>11246 N. Mountain Breeze Dr. Oro Valley AZ 85737</t>
  </si>
  <si>
    <t>Tangerine/Thornydale;  TURF EST for area for kids between concrete patio and block wall where there is existing gravel.  
****GATE CODE:  3458 *******W.B. 5/24</t>
  </si>
  <si>
    <t>White, Jessica</t>
  </si>
  <si>
    <t xml:space="preserve">Phone:(520) 471-5401 </t>
  </si>
  <si>
    <t>redhotrun@juno.com</t>
  </si>
  <si>
    <t>Jessica  White</t>
  </si>
  <si>
    <t>7448 W. Dream Maker Pl. Tucson AZ 85743</t>
  </si>
  <si>
    <t>2016-06-10 00:00:00</t>
  </si>
  <si>
    <t>CALL ME ABOUT THIS ESTIMATE BEFORE YOU GO!!</t>
  </si>
  <si>
    <t>Woodland Villas II</t>
  </si>
  <si>
    <t xml:space="preserve">Phone:885-7520 </t>
  </si>
  <si>
    <t>Frank</t>
  </si>
  <si>
    <t>8137 E. Rivenoak Dr. Tucson AZ 85715</t>
  </si>
  <si>
    <t>2016-06-05 00:00:00</t>
  </si>
  <si>
    <t>Per Toby email 3/10 (no paperwork; emailed Heather but no reply) cannot locate estimate from 2/16</t>
  </si>
  <si>
    <t>Wright, Linda</t>
  </si>
  <si>
    <t>Mobile:404-0026</t>
  </si>
  <si>
    <t>wrightstuc@comcast.net</t>
  </si>
  <si>
    <t>Linda  Wright</t>
  </si>
  <si>
    <t>5302 E. Camino Rio De Luz Tucson AZ 85718</t>
  </si>
  <si>
    <t>River/Craycroft</t>
  </si>
  <si>
    <t>Young, Scott</t>
  </si>
  <si>
    <t>Mobile:(520) 390-5028</t>
  </si>
  <si>
    <t>azbaron@live.com</t>
  </si>
  <si>
    <t>Scott  Young</t>
  </si>
  <si>
    <t>2500 E. Forgeus Pl. Tucson AZ 85716</t>
  </si>
  <si>
    <t>2016-07-03 00:00:00</t>
  </si>
  <si>
    <t>*180 sq. ft Ventana Spring Light/Zeofill; sod removal
Broadway/Tucson Blvd.; TURF EST for approx. 200 sq ft rectangle shape; dog urine killing grass.  Works 8-5 but will get off early that day.  W.B. 6/13
*****was supposed to install 8/3/CANCELLED/CC REFUNDED/KEPT ON CALENDAR FOR FUTURE SEARCH INFO******</t>
  </si>
  <si>
    <t>Ziegler, Steve</t>
  </si>
  <si>
    <t>Mobile:631-1671</t>
  </si>
  <si>
    <t>oldpuebloseptic@msn.com</t>
  </si>
  <si>
    <t>Steve  Ziegler</t>
  </si>
  <si>
    <t>10916 N. Pusch Ridge View Pl. Oro Valley AZ 85737</t>
  </si>
  <si>
    <t>*900 sq ft Ventana Spring Light; rock removal
Oracle/Linda Vista.  Please call him that morning as a reminder.  Turf est/sq ft unknown.  LL  4/14</t>
  </si>
  <si>
    <t>Top Price ($1.80)</t>
  </si>
  <si>
    <t>Good Price ($1.50)</t>
  </si>
  <si>
    <t>OK Price ($1.30)</t>
  </si>
  <si>
    <t>Discounted Price ($1.25)</t>
  </si>
  <si>
    <t>Bottom Dollar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</si>
</sst>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4">
    <xf numFmtId="0" fontId="0" fillId="0" borderId="0" xfId="0"/>
    <xf numFmtId="44" fontId="0" fillId="0" borderId="0" xfId="1" applyFont="1"/>
    <xf numFmtId="0" fontId="2" fillId="0" borderId="0" xfId="0" applyFont="1"/>
    <xf numFmtId="44" fontId="2" fillId="0" borderId="0" xfId="1" applyFo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6"/>
  <sheetViews>
    <sheetView tabSelected="1" topLeftCell="F1" workbookViewId="0">
      <pane ySplit="1" topLeftCell="A2" activePane="bottomLeft" state="frozen"/>
      <selection pane="bottomLeft" activeCell="J7" sqref="J7"/>
    </sheetView>
  </sheetViews>
  <sheetFormatPr defaultRowHeight="15" x14ac:dyDescent="0.25"/>
  <cols>
    <col min="1" max="1" width="40.140625" bestFit="1" customWidth="1"/>
    <col min="2" max="2" width="67.5703125" bestFit="1" customWidth="1"/>
    <col min="3" max="3" width="50.85546875" bestFit="1" customWidth="1"/>
    <col min="4" max="4" width="29.28515625" bestFit="1" customWidth="1"/>
    <col min="5" max="6" width="70.5703125" bestFit="1" customWidth="1"/>
    <col min="7" max="7" width="18.28515625" bestFit="1" customWidth="1"/>
    <col min="8" max="8" width="14.85546875" bestFit="1" customWidth="1"/>
    <col min="9" max="9" width="17.28515625" style="1" bestFit="1" customWidth="1"/>
    <col min="10" max="11" width="14.85546875" style="1" customWidth="1"/>
    <col min="12" max="12" width="22.7109375" style="1" bestFit="1" customWidth="1"/>
    <col min="13" max="13" width="19" style="1" bestFit="1" customWidth="1"/>
    <col min="14" max="14" width="255.7109375" bestFit="1" customWidth="1"/>
    <col min="15" max="15" width="5.85546875" bestFit="1" customWidth="1"/>
  </cols>
  <sheetData>
    <row r="1" spans="1:15" s="2" customFormat="1" x14ac:dyDescent="0.25">
      <c r="A1" s="2" t="s">
        <v>0</v>
      </c>
      <c r="B1" s="2" t="s">
        <v>1</v>
      </c>
      <c r="C1" s="2" t="s">
        <v>2</v>
      </c>
      <c r="D1" s="2" t="s">
        <v>3</v>
      </c>
      <c r="E1" s="2" t="s">
        <v>4</v>
      </c>
      <c r="F1" s="2" t="s">
        <v>5</v>
      </c>
      <c r="G1" s="2" t="s">
        <v>6</v>
      </c>
      <c r="H1" s="2" t="s">
        <v>7</v>
      </c>
      <c r="I1" s="3" t="s">
        <v>828</v>
      </c>
      <c r="J1" s="3" t="s">
        <v>829</v>
      </c>
      <c r="K1" s="3" t="s">
        <v>830</v>
      </c>
      <c r="L1" s="3" t="s">
        <v>831</v>
      </c>
      <c r="M1" s="3" t="s">
        <v>832</v>
      </c>
      <c r="N1" s="2" t="s">
        <v>8</v>
      </c>
      <c r="O1" s="2" t="s">
        <v>9</v>
      </c>
    </row>
    <row r="2" spans="1:15" x14ac:dyDescent="0.25">
      <c r="A2" t="s">
        <v>136</v>
      </c>
      <c r="B2" t="s">
        <v>137</v>
      </c>
      <c r="C2" t="s">
        <v>138</v>
      </c>
      <c r="D2" t="s">
        <v>139</v>
      </c>
      <c r="E2" t="s">
        <v>140</v>
      </c>
      <c r="G2" t="s">
        <v>141</v>
      </c>
      <c r="H2" t="s">
        <v>142</v>
      </c>
      <c r="I2" s="1">
        <f>H2*1.8</f>
        <v>783</v>
      </c>
      <c r="J2" s="1">
        <f>H2*1.5</f>
        <v>652.5</v>
      </c>
      <c r="K2" s="1">
        <f>H2*1.3</f>
        <v>565.5</v>
      </c>
      <c r="L2" s="1">
        <f>H2*1.25</f>
        <v>543.75</v>
      </c>
      <c r="M2" s="1">
        <f>H2*0.99</f>
        <v>430.65</v>
      </c>
      <c r="N2" t="s">
        <v>143</v>
      </c>
      <c r="O2">
        <v>23</v>
      </c>
    </row>
    <row r="3" spans="1:15" x14ac:dyDescent="0.25">
      <c r="A3" t="s">
        <v>362</v>
      </c>
      <c r="B3" t="s">
        <v>363</v>
      </c>
      <c r="C3" t="s">
        <v>364</v>
      </c>
      <c r="D3" t="s">
        <v>365</v>
      </c>
      <c r="E3" t="s">
        <v>366</v>
      </c>
      <c r="F3" t="s">
        <v>366</v>
      </c>
      <c r="G3" t="s">
        <v>207</v>
      </c>
      <c r="H3" t="s">
        <v>367</v>
      </c>
      <c r="I3" s="1">
        <f t="shared" ref="I3:I66" si="0">H3*1.8</f>
        <v>2781</v>
      </c>
      <c r="J3" s="1">
        <f t="shared" ref="J3:J66" si="1">H3*1.5</f>
        <v>2317.5</v>
      </c>
      <c r="K3" s="1">
        <f t="shared" ref="K3:K66" si="2">H3*1.3</f>
        <v>2008.5</v>
      </c>
      <c r="L3" s="1">
        <f t="shared" ref="L3:L66" si="3">H3*1.25</f>
        <v>1931.25</v>
      </c>
      <c r="M3" s="1">
        <f t="shared" ref="M3:M66" si="4">H3*0.99</f>
        <v>1529.55</v>
      </c>
      <c r="N3" t="s">
        <v>368</v>
      </c>
      <c r="O3">
        <v>23</v>
      </c>
    </row>
    <row r="4" spans="1:15" x14ac:dyDescent="0.25">
      <c r="A4" t="s">
        <v>776</v>
      </c>
      <c r="B4" t="s">
        <v>777</v>
      </c>
      <c r="C4" t="s">
        <v>778</v>
      </c>
      <c r="D4" t="s">
        <v>779</v>
      </c>
      <c r="E4" t="s">
        <v>780</v>
      </c>
      <c r="F4" t="s">
        <v>780</v>
      </c>
      <c r="G4" t="s">
        <v>141</v>
      </c>
      <c r="H4" t="s">
        <v>142</v>
      </c>
      <c r="I4" s="1">
        <f t="shared" si="0"/>
        <v>783</v>
      </c>
      <c r="J4" s="1">
        <f t="shared" si="1"/>
        <v>652.5</v>
      </c>
      <c r="K4" s="1">
        <f t="shared" si="2"/>
        <v>565.5</v>
      </c>
      <c r="L4" s="1">
        <f t="shared" si="3"/>
        <v>543.75</v>
      </c>
      <c r="M4" s="1">
        <f t="shared" si="4"/>
        <v>430.65</v>
      </c>
      <c r="N4" t="s">
        <v>143</v>
      </c>
      <c r="O4">
        <v>23</v>
      </c>
    </row>
    <row r="5" spans="1:15" x14ac:dyDescent="0.25">
      <c r="A5" t="s">
        <v>113</v>
      </c>
      <c r="B5" t="s">
        <v>114</v>
      </c>
      <c r="C5" t="s">
        <v>115</v>
      </c>
      <c r="D5" t="s">
        <v>116</v>
      </c>
      <c r="E5" t="s">
        <v>117</v>
      </c>
      <c r="F5" t="s">
        <v>117</v>
      </c>
      <c r="G5" t="s">
        <v>118</v>
      </c>
      <c r="I5" s="1">
        <f t="shared" si="0"/>
        <v>0</v>
      </c>
      <c r="J5" s="1">
        <f t="shared" si="1"/>
        <v>0</v>
      </c>
      <c r="K5" s="1">
        <f t="shared" si="2"/>
        <v>0</v>
      </c>
      <c r="L5" s="1">
        <f t="shared" si="3"/>
        <v>0</v>
      </c>
      <c r="M5" s="1">
        <f t="shared" si="4"/>
        <v>0</v>
      </c>
      <c r="N5" t="s">
        <v>119</v>
      </c>
      <c r="O5">
        <v>19</v>
      </c>
    </row>
    <row r="6" spans="1:15" x14ac:dyDescent="0.25">
      <c r="A6" t="s">
        <v>630</v>
      </c>
      <c r="B6" t="s">
        <v>631</v>
      </c>
      <c r="C6" t="s">
        <v>632</v>
      </c>
      <c r="D6" t="s">
        <v>633</v>
      </c>
      <c r="E6" t="s">
        <v>634</v>
      </c>
      <c r="F6" t="s">
        <v>634</v>
      </c>
      <c r="G6" t="s">
        <v>118</v>
      </c>
      <c r="I6" s="1">
        <f t="shared" si="0"/>
        <v>0</v>
      </c>
      <c r="J6" s="1">
        <f t="shared" si="1"/>
        <v>0</v>
      </c>
      <c r="K6" s="1">
        <f t="shared" si="2"/>
        <v>0</v>
      </c>
      <c r="L6" s="1">
        <f t="shared" si="3"/>
        <v>0</v>
      </c>
      <c r="M6" s="1">
        <f t="shared" si="4"/>
        <v>0</v>
      </c>
      <c r="N6" t="s">
        <v>119</v>
      </c>
      <c r="O6">
        <v>19</v>
      </c>
    </row>
    <row r="7" spans="1:15" x14ac:dyDescent="0.25">
      <c r="A7" t="s">
        <v>413</v>
      </c>
      <c r="B7" t="s">
        <v>414</v>
      </c>
      <c r="C7" t="s">
        <v>415</v>
      </c>
      <c r="D7" t="s">
        <v>416</v>
      </c>
      <c r="E7" t="s">
        <v>417</v>
      </c>
      <c r="F7" t="s">
        <v>417</v>
      </c>
      <c r="G7" t="s">
        <v>26</v>
      </c>
      <c r="H7" t="s">
        <v>418</v>
      </c>
      <c r="I7" s="1">
        <f t="shared" si="0"/>
        <v>1296</v>
      </c>
      <c r="J7" s="1">
        <f t="shared" si="1"/>
        <v>1080</v>
      </c>
      <c r="K7" s="1">
        <f t="shared" si="2"/>
        <v>936</v>
      </c>
      <c r="L7" s="1">
        <f t="shared" si="3"/>
        <v>900</v>
      </c>
      <c r="M7" s="1">
        <f t="shared" si="4"/>
        <v>712.8</v>
      </c>
      <c r="N7" t="s">
        <v>419</v>
      </c>
      <c r="O7">
        <v>18</v>
      </c>
    </row>
    <row r="8" spans="1:15" x14ac:dyDescent="0.25">
      <c r="A8" t="s">
        <v>650</v>
      </c>
      <c r="B8" t="s">
        <v>651</v>
      </c>
      <c r="C8" t="s">
        <v>652</v>
      </c>
      <c r="D8" t="s">
        <v>653</v>
      </c>
      <c r="E8" t="s">
        <v>654</v>
      </c>
      <c r="F8" t="s">
        <v>654</v>
      </c>
      <c r="G8" t="s">
        <v>185</v>
      </c>
      <c r="H8" t="s">
        <v>134</v>
      </c>
      <c r="I8" s="1">
        <f t="shared" si="0"/>
        <v>1080</v>
      </c>
      <c r="J8" s="1">
        <f t="shared" si="1"/>
        <v>900</v>
      </c>
      <c r="K8" s="1">
        <f t="shared" si="2"/>
        <v>780</v>
      </c>
      <c r="L8" s="1">
        <f t="shared" si="3"/>
        <v>750</v>
      </c>
      <c r="M8" s="1">
        <f t="shared" si="4"/>
        <v>594</v>
      </c>
      <c r="N8" t="s">
        <v>655</v>
      </c>
      <c r="O8">
        <v>18</v>
      </c>
    </row>
    <row r="9" spans="1:15" x14ac:dyDescent="0.25">
      <c r="A9" t="s">
        <v>44</v>
      </c>
      <c r="B9" t="s">
        <v>45</v>
      </c>
      <c r="C9" t="s">
        <v>46</v>
      </c>
      <c r="D9" t="s">
        <v>47</v>
      </c>
      <c r="E9" t="s">
        <v>48</v>
      </c>
      <c r="F9" t="s">
        <v>48</v>
      </c>
      <c r="G9" t="s">
        <v>49</v>
      </c>
      <c r="H9" t="s">
        <v>50</v>
      </c>
      <c r="I9" s="1">
        <f t="shared" si="0"/>
        <v>1620</v>
      </c>
      <c r="J9" s="1">
        <f t="shared" si="1"/>
        <v>1350</v>
      </c>
      <c r="K9" s="1">
        <f t="shared" si="2"/>
        <v>1170</v>
      </c>
      <c r="L9" s="1">
        <f t="shared" si="3"/>
        <v>1125</v>
      </c>
      <c r="M9" s="1">
        <f t="shared" si="4"/>
        <v>891</v>
      </c>
      <c r="N9" t="s">
        <v>51</v>
      </c>
      <c r="O9">
        <v>16</v>
      </c>
    </row>
    <row r="10" spans="1:15" x14ac:dyDescent="0.25">
      <c r="A10" t="s">
        <v>66</v>
      </c>
      <c r="B10" t="s">
        <v>67</v>
      </c>
      <c r="C10" t="s">
        <v>68</v>
      </c>
      <c r="D10" t="s">
        <v>69</v>
      </c>
      <c r="E10" t="s">
        <v>70</v>
      </c>
      <c r="F10" t="s">
        <v>70</v>
      </c>
      <c r="G10" t="s">
        <v>71</v>
      </c>
      <c r="H10" t="s">
        <v>72</v>
      </c>
      <c r="I10" s="1">
        <f t="shared" si="0"/>
        <v>2268</v>
      </c>
      <c r="J10" s="1">
        <f t="shared" si="1"/>
        <v>1890</v>
      </c>
      <c r="K10" s="1">
        <f t="shared" si="2"/>
        <v>1638</v>
      </c>
      <c r="L10" s="1">
        <f t="shared" si="3"/>
        <v>1575</v>
      </c>
      <c r="M10" s="1">
        <f t="shared" si="4"/>
        <v>1247.4000000000001</v>
      </c>
      <c r="N10" t="s">
        <v>73</v>
      </c>
      <c r="O10">
        <v>16</v>
      </c>
    </row>
    <row r="11" spans="1:15" x14ac:dyDescent="0.25">
      <c r="A11" t="s">
        <v>94</v>
      </c>
      <c r="B11" t="s">
        <v>95</v>
      </c>
      <c r="C11" t="s">
        <v>96</v>
      </c>
      <c r="D11" t="s">
        <v>97</v>
      </c>
      <c r="E11" t="s">
        <v>98</v>
      </c>
      <c r="F11" t="s">
        <v>98</v>
      </c>
      <c r="G11" t="s">
        <v>99</v>
      </c>
      <c r="H11" t="s">
        <v>100</v>
      </c>
      <c r="I11" s="1">
        <f t="shared" si="0"/>
        <v>1836</v>
      </c>
      <c r="J11" s="1">
        <f t="shared" si="1"/>
        <v>1530</v>
      </c>
      <c r="K11" s="1">
        <f t="shared" si="2"/>
        <v>1326</v>
      </c>
      <c r="L11" s="1">
        <f t="shared" si="3"/>
        <v>1275</v>
      </c>
      <c r="M11" s="1">
        <f t="shared" si="4"/>
        <v>1009.8</v>
      </c>
      <c r="N11" t="s">
        <v>101</v>
      </c>
      <c r="O11">
        <v>16</v>
      </c>
    </row>
    <row r="12" spans="1:15" x14ac:dyDescent="0.25">
      <c r="A12" t="s">
        <v>531</v>
      </c>
      <c r="B12" t="s">
        <v>532</v>
      </c>
      <c r="C12" t="s">
        <v>533</v>
      </c>
      <c r="D12" t="s">
        <v>534</v>
      </c>
      <c r="E12" t="s">
        <v>535</v>
      </c>
      <c r="G12" t="s">
        <v>281</v>
      </c>
      <c r="H12" t="s">
        <v>536</v>
      </c>
      <c r="I12" s="1">
        <f t="shared" si="0"/>
        <v>1485</v>
      </c>
      <c r="J12" s="1">
        <f t="shared" si="1"/>
        <v>1237.5</v>
      </c>
      <c r="K12" s="1">
        <f t="shared" si="2"/>
        <v>1072.5</v>
      </c>
      <c r="L12" s="1">
        <f t="shared" si="3"/>
        <v>1031.25</v>
      </c>
      <c r="M12" s="1">
        <f t="shared" si="4"/>
        <v>816.75</v>
      </c>
      <c r="N12" t="s">
        <v>537</v>
      </c>
      <c r="O12">
        <v>16</v>
      </c>
    </row>
    <row r="13" spans="1:15" x14ac:dyDescent="0.25">
      <c r="A13" t="s">
        <v>687</v>
      </c>
      <c r="B13" t="s">
        <v>688</v>
      </c>
      <c r="C13" t="s">
        <v>689</v>
      </c>
      <c r="D13" t="s">
        <v>690</v>
      </c>
      <c r="E13" t="s">
        <v>691</v>
      </c>
      <c r="F13" t="s">
        <v>691</v>
      </c>
      <c r="G13" t="s">
        <v>692</v>
      </c>
      <c r="H13" t="s">
        <v>50</v>
      </c>
      <c r="I13" s="1">
        <f t="shared" si="0"/>
        <v>1620</v>
      </c>
      <c r="J13" s="1">
        <f t="shared" si="1"/>
        <v>1350</v>
      </c>
      <c r="K13" s="1">
        <f t="shared" si="2"/>
        <v>1170</v>
      </c>
      <c r="L13" s="1">
        <f t="shared" si="3"/>
        <v>1125</v>
      </c>
      <c r="M13" s="1">
        <f t="shared" si="4"/>
        <v>891</v>
      </c>
      <c r="N13" t="s">
        <v>693</v>
      </c>
      <c r="O13">
        <v>16</v>
      </c>
    </row>
    <row r="14" spans="1:15" x14ac:dyDescent="0.25">
      <c r="A14" t="s">
        <v>702</v>
      </c>
      <c r="B14" t="s">
        <v>703</v>
      </c>
      <c r="C14" t="s">
        <v>704</v>
      </c>
      <c r="D14" t="s">
        <v>705</v>
      </c>
      <c r="E14" t="s">
        <v>706</v>
      </c>
      <c r="G14" t="s">
        <v>707</v>
      </c>
      <c r="H14" t="s">
        <v>536</v>
      </c>
      <c r="I14" s="1">
        <f t="shared" si="0"/>
        <v>1485</v>
      </c>
      <c r="J14" s="1">
        <f t="shared" si="1"/>
        <v>1237.5</v>
      </c>
      <c r="K14" s="1">
        <f t="shared" si="2"/>
        <v>1072.5</v>
      </c>
      <c r="L14" s="1">
        <f t="shared" si="3"/>
        <v>1031.25</v>
      </c>
      <c r="M14" s="1">
        <f t="shared" si="4"/>
        <v>816.75</v>
      </c>
      <c r="N14" t="s">
        <v>708</v>
      </c>
      <c r="O14">
        <v>16</v>
      </c>
    </row>
    <row r="15" spans="1:15" x14ac:dyDescent="0.25">
      <c r="A15" t="s">
        <v>716</v>
      </c>
      <c r="B15" t="s">
        <v>717</v>
      </c>
      <c r="C15" t="s">
        <v>718</v>
      </c>
      <c r="E15" t="s">
        <v>719</v>
      </c>
      <c r="F15" t="s">
        <v>719</v>
      </c>
      <c r="G15" t="s">
        <v>720</v>
      </c>
      <c r="H15" t="s">
        <v>721</v>
      </c>
      <c r="I15" s="1">
        <f t="shared" si="0"/>
        <v>2520</v>
      </c>
      <c r="J15" s="1">
        <f t="shared" si="1"/>
        <v>2100</v>
      </c>
      <c r="K15" s="1">
        <f t="shared" si="2"/>
        <v>1820</v>
      </c>
      <c r="L15" s="1">
        <f t="shared" si="3"/>
        <v>1750</v>
      </c>
      <c r="M15" s="1">
        <f t="shared" si="4"/>
        <v>1386</v>
      </c>
      <c r="N15" t="s">
        <v>722</v>
      </c>
      <c r="O15">
        <v>16</v>
      </c>
    </row>
    <row r="16" spans="1:15" x14ac:dyDescent="0.25">
      <c r="A16" t="s">
        <v>320</v>
      </c>
      <c r="B16" t="s">
        <v>321</v>
      </c>
      <c r="C16" t="s">
        <v>322</v>
      </c>
      <c r="D16" t="s">
        <v>323</v>
      </c>
      <c r="E16" t="s">
        <v>324</v>
      </c>
      <c r="F16" t="s">
        <v>324</v>
      </c>
      <c r="G16" t="s">
        <v>325</v>
      </c>
      <c r="I16" s="1">
        <f t="shared" si="0"/>
        <v>0</v>
      </c>
      <c r="J16" s="1">
        <f t="shared" si="1"/>
        <v>0</v>
      </c>
      <c r="K16" s="1">
        <f t="shared" si="2"/>
        <v>0</v>
      </c>
      <c r="L16" s="1">
        <f t="shared" si="3"/>
        <v>0</v>
      </c>
      <c r="M16" s="1">
        <f t="shared" si="4"/>
        <v>0</v>
      </c>
      <c r="N16" t="s">
        <v>326</v>
      </c>
      <c r="O16">
        <v>14</v>
      </c>
    </row>
    <row r="17" spans="1:15" x14ac:dyDescent="0.25">
      <c r="A17" t="s">
        <v>460</v>
      </c>
      <c r="B17" t="s">
        <v>461</v>
      </c>
      <c r="C17" t="s">
        <v>462</v>
      </c>
      <c r="D17" t="s">
        <v>463</v>
      </c>
      <c r="E17" t="s">
        <v>464</v>
      </c>
      <c r="F17" t="s">
        <v>464</v>
      </c>
      <c r="G17" t="s">
        <v>465</v>
      </c>
      <c r="I17" s="1">
        <f t="shared" si="0"/>
        <v>0</v>
      </c>
      <c r="J17" s="1">
        <f t="shared" si="1"/>
        <v>0</v>
      </c>
      <c r="K17" s="1">
        <f t="shared" si="2"/>
        <v>0</v>
      </c>
      <c r="L17" s="1">
        <f t="shared" si="3"/>
        <v>0</v>
      </c>
      <c r="M17" s="1">
        <f t="shared" si="4"/>
        <v>0</v>
      </c>
      <c r="N17" t="s">
        <v>466</v>
      </c>
      <c r="O17">
        <v>14</v>
      </c>
    </row>
    <row r="18" spans="1:15" x14ac:dyDescent="0.25">
      <c r="A18" t="s">
        <v>523</v>
      </c>
      <c r="B18" t="s">
        <v>524</v>
      </c>
      <c r="C18" t="s">
        <v>525</v>
      </c>
      <c r="D18" t="s">
        <v>526</v>
      </c>
      <c r="E18" t="s">
        <v>527</v>
      </c>
      <c r="G18" t="s">
        <v>528</v>
      </c>
      <c r="H18" t="s">
        <v>529</v>
      </c>
      <c r="I18" s="1">
        <f t="shared" si="0"/>
        <v>891</v>
      </c>
      <c r="J18" s="1">
        <f t="shared" si="1"/>
        <v>742.5</v>
      </c>
      <c r="K18" s="1">
        <f t="shared" si="2"/>
        <v>643.5</v>
      </c>
      <c r="L18" s="1">
        <f t="shared" si="3"/>
        <v>618.75</v>
      </c>
      <c r="M18" s="1">
        <f t="shared" si="4"/>
        <v>490.05</v>
      </c>
      <c r="N18" t="s">
        <v>530</v>
      </c>
      <c r="O18">
        <v>14</v>
      </c>
    </row>
    <row r="19" spans="1:15" x14ac:dyDescent="0.25">
      <c r="A19" t="s">
        <v>180</v>
      </c>
      <c r="B19" t="s">
        <v>181</v>
      </c>
      <c r="C19" t="s">
        <v>182</v>
      </c>
      <c r="D19" t="s">
        <v>183</v>
      </c>
      <c r="E19" t="s">
        <v>184</v>
      </c>
      <c r="F19" t="s">
        <v>184</v>
      </c>
      <c r="G19" t="s">
        <v>185</v>
      </c>
      <c r="H19" t="s">
        <v>186</v>
      </c>
      <c r="I19" s="1">
        <f t="shared" si="0"/>
        <v>3699</v>
      </c>
      <c r="J19" s="1">
        <f t="shared" si="1"/>
        <v>3082.5</v>
      </c>
      <c r="K19" s="1">
        <f t="shared" si="2"/>
        <v>2671.5</v>
      </c>
      <c r="L19" s="1">
        <f t="shared" si="3"/>
        <v>2568.75</v>
      </c>
      <c r="M19" s="1">
        <f t="shared" si="4"/>
        <v>2034.45</v>
      </c>
      <c r="N19" t="s">
        <v>187</v>
      </c>
      <c r="O19">
        <v>13</v>
      </c>
    </row>
    <row r="20" spans="1:15" x14ac:dyDescent="0.25">
      <c r="A20" t="s">
        <v>292</v>
      </c>
      <c r="B20" t="s">
        <v>293</v>
      </c>
      <c r="C20" t="s">
        <v>294</v>
      </c>
      <c r="D20" t="s">
        <v>295</v>
      </c>
      <c r="E20" t="s">
        <v>296</v>
      </c>
      <c r="F20" t="s">
        <v>296</v>
      </c>
      <c r="G20" t="s">
        <v>297</v>
      </c>
      <c r="H20" t="s">
        <v>298</v>
      </c>
      <c r="I20" s="1">
        <f t="shared" si="0"/>
        <v>2808</v>
      </c>
      <c r="J20" s="1">
        <f t="shared" si="1"/>
        <v>2340</v>
      </c>
      <c r="K20" s="1">
        <f t="shared" si="2"/>
        <v>2028</v>
      </c>
      <c r="L20" s="1">
        <f t="shared" si="3"/>
        <v>1950</v>
      </c>
      <c r="M20" s="1">
        <f t="shared" si="4"/>
        <v>1544.4</v>
      </c>
      <c r="N20" t="s">
        <v>299</v>
      </c>
      <c r="O20">
        <v>13</v>
      </c>
    </row>
    <row r="21" spans="1:15" x14ac:dyDescent="0.25">
      <c r="A21" t="s">
        <v>538</v>
      </c>
      <c r="B21" t="s">
        <v>539</v>
      </c>
      <c r="C21" t="s">
        <v>540</v>
      </c>
      <c r="D21" t="s">
        <v>541</v>
      </c>
      <c r="E21" t="s">
        <v>542</v>
      </c>
      <c r="F21" t="s">
        <v>542</v>
      </c>
      <c r="G21" t="s">
        <v>26</v>
      </c>
      <c r="H21" t="s">
        <v>543</v>
      </c>
      <c r="I21" s="1">
        <f t="shared" si="0"/>
        <v>675</v>
      </c>
      <c r="J21" s="1">
        <f t="shared" si="1"/>
        <v>562.5</v>
      </c>
      <c r="K21" s="1">
        <f t="shared" si="2"/>
        <v>487.5</v>
      </c>
      <c r="L21" s="1">
        <f t="shared" si="3"/>
        <v>468.75</v>
      </c>
      <c r="M21" s="1">
        <f t="shared" si="4"/>
        <v>371.25</v>
      </c>
      <c r="N21" t="s">
        <v>544</v>
      </c>
      <c r="O21">
        <v>13</v>
      </c>
    </row>
    <row r="22" spans="1:15" x14ac:dyDescent="0.25">
      <c r="A22" t="s">
        <v>815</v>
      </c>
      <c r="B22" t="s">
        <v>816</v>
      </c>
      <c r="C22" t="s">
        <v>817</v>
      </c>
      <c r="D22" t="s">
        <v>818</v>
      </c>
      <c r="E22" t="s">
        <v>819</v>
      </c>
      <c r="F22" t="s">
        <v>819</v>
      </c>
      <c r="G22" t="s">
        <v>820</v>
      </c>
      <c r="H22" t="s">
        <v>521</v>
      </c>
      <c r="I22" s="1">
        <f t="shared" si="0"/>
        <v>324</v>
      </c>
      <c r="J22" s="1">
        <f t="shared" si="1"/>
        <v>270</v>
      </c>
      <c r="K22" s="1">
        <f t="shared" si="2"/>
        <v>234</v>
      </c>
      <c r="L22" s="1">
        <f t="shared" si="3"/>
        <v>225</v>
      </c>
      <c r="M22" s="1">
        <f t="shared" si="4"/>
        <v>178.2</v>
      </c>
      <c r="N22" t="s">
        <v>821</v>
      </c>
      <c r="O22">
        <v>13</v>
      </c>
    </row>
    <row r="23" spans="1:15" x14ac:dyDescent="0.25">
      <c r="A23" t="s">
        <v>21</v>
      </c>
      <c r="B23" t="s">
        <v>22</v>
      </c>
      <c r="C23" t="s">
        <v>23</v>
      </c>
      <c r="D23" t="s">
        <v>24</v>
      </c>
      <c r="E23" t="s">
        <v>25</v>
      </c>
      <c r="G23" t="s">
        <v>26</v>
      </c>
      <c r="H23" t="s">
        <v>27</v>
      </c>
      <c r="I23" s="1">
        <f t="shared" si="0"/>
        <v>1602</v>
      </c>
      <c r="J23" s="1">
        <f t="shared" si="1"/>
        <v>1335</v>
      </c>
      <c r="K23" s="1">
        <f t="shared" si="2"/>
        <v>1157</v>
      </c>
      <c r="L23" s="1">
        <f t="shared" si="3"/>
        <v>1112.5</v>
      </c>
      <c r="M23" s="1">
        <f t="shared" si="4"/>
        <v>881.1</v>
      </c>
      <c r="N23" t="s">
        <v>28</v>
      </c>
      <c r="O23">
        <v>12</v>
      </c>
    </row>
    <row r="24" spans="1:15" x14ac:dyDescent="0.25">
      <c r="A24" t="s">
        <v>29</v>
      </c>
      <c r="B24" t="s">
        <v>30</v>
      </c>
      <c r="C24" t="s">
        <v>31</v>
      </c>
      <c r="D24" t="s">
        <v>32</v>
      </c>
      <c r="E24" t="s">
        <v>33</v>
      </c>
      <c r="F24" t="s">
        <v>33</v>
      </c>
      <c r="G24" t="s">
        <v>34</v>
      </c>
      <c r="H24" t="s">
        <v>35</v>
      </c>
      <c r="I24" s="1">
        <f t="shared" si="0"/>
        <v>1512</v>
      </c>
      <c r="J24" s="1">
        <f t="shared" si="1"/>
        <v>1260</v>
      </c>
      <c r="K24" s="1">
        <f t="shared" si="2"/>
        <v>1092</v>
      </c>
      <c r="L24" s="1">
        <f t="shared" si="3"/>
        <v>1050</v>
      </c>
      <c r="M24" s="1">
        <f t="shared" si="4"/>
        <v>831.6</v>
      </c>
      <c r="N24" t="s">
        <v>36</v>
      </c>
      <c r="O24">
        <v>12</v>
      </c>
    </row>
    <row r="25" spans="1:15" x14ac:dyDescent="0.25">
      <c r="A25" t="s">
        <v>37</v>
      </c>
      <c r="B25" t="s">
        <v>38</v>
      </c>
      <c r="C25" t="s">
        <v>39</v>
      </c>
      <c r="E25" t="s">
        <v>40</v>
      </c>
      <c r="G25" t="s">
        <v>41</v>
      </c>
      <c r="H25" t="s">
        <v>42</v>
      </c>
      <c r="I25" s="1">
        <f t="shared" si="0"/>
        <v>999</v>
      </c>
      <c r="J25" s="1">
        <f t="shared" si="1"/>
        <v>832.5</v>
      </c>
      <c r="K25" s="1">
        <f t="shared" si="2"/>
        <v>721.5</v>
      </c>
      <c r="L25" s="1">
        <f t="shared" si="3"/>
        <v>693.75</v>
      </c>
      <c r="M25" s="1">
        <f t="shared" si="4"/>
        <v>549.45000000000005</v>
      </c>
      <c r="N25" t="s">
        <v>43</v>
      </c>
      <c r="O25">
        <v>12</v>
      </c>
    </row>
    <row r="26" spans="1:15" x14ac:dyDescent="0.25">
      <c r="A26" t="s">
        <v>52</v>
      </c>
      <c r="B26" t="s">
        <v>53</v>
      </c>
      <c r="D26" t="s">
        <v>54</v>
      </c>
      <c r="E26" t="s">
        <v>55</v>
      </c>
      <c r="F26" t="s">
        <v>55</v>
      </c>
      <c r="G26" t="s">
        <v>56</v>
      </c>
      <c r="H26" t="s">
        <v>57</v>
      </c>
      <c r="I26" s="1">
        <f t="shared" si="0"/>
        <v>2403</v>
      </c>
      <c r="J26" s="1">
        <f t="shared" si="1"/>
        <v>2002.5</v>
      </c>
      <c r="K26" s="1">
        <f t="shared" si="2"/>
        <v>1735.5</v>
      </c>
      <c r="L26" s="1">
        <f t="shared" si="3"/>
        <v>1668.75</v>
      </c>
      <c r="M26" s="1">
        <f t="shared" si="4"/>
        <v>1321.65</v>
      </c>
      <c r="N26" t="s">
        <v>58</v>
      </c>
      <c r="O26">
        <v>12</v>
      </c>
    </row>
    <row r="27" spans="1:15" x14ac:dyDescent="0.25">
      <c r="A27" t="s">
        <v>120</v>
      </c>
      <c r="B27" t="s">
        <v>121</v>
      </c>
      <c r="C27" t="s">
        <v>122</v>
      </c>
      <c r="D27" t="s">
        <v>123</v>
      </c>
      <c r="E27" t="s">
        <v>124</v>
      </c>
      <c r="F27" t="s">
        <v>124</v>
      </c>
      <c r="G27" t="s">
        <v>125</v>
      </c>
      <c r="H27" t="s">
        <v>126</v>
      </c>
      <c r="I27" s="1">
        <f t="shared" si="0"/>
        <v>1980</v>
      </c>
      <c r="J27" s="1">
        <f t="shared" si="1"/>
        <v>1650</v>
      </c>
      <c r="K27" s="1">
        <f t="shared" si="2"/>
        <v>1430</v>
      </c>
      <c r="L27" s="1">
        <f t="shared" si="3"/>
        <v>1375</v>
      </c>
      <c r="M27" s="1">
        <f t="shared" si="4"/>
        <v>1089</v>
      </c>
      <c r="N27" t="s">
        <v>127</v>
      </c>
      <c r="O27">
        <v>12</v>
      </c>
    </row>
    <row r="28" spans="1:15" x14ac:dyDescent="0.25">
      <c r="A28" t="s">
        <v>128</v>
      </c>
      <c r="B28" t="s">
        <v>129</v>
      </c>
      <c r="C28" t="s">
        <v>130</v>
      </c>
      <c r="D28" t="s">
        <v>131</v>
      </c>
      <c r="E28" t="s">
        <v>132</v>
      </c>
      <c r="F28" t="s">
        <v>132</v>
      </c>
      <c r="G28" t="s">
        <v>133</v>
      </c>
      <c r="H28" t="s">
        <v>134</v>
      </c>
      <c r="I28" s="1">
        <f t="shared" si="0"/>
        <v>1080</v>
      </c>
      <c r="J28" s="1">
        <f t="shared" si="1"/>
        <v>900</v>
      </c>
      <c r="K28" s="1">
        <f t="shared" si="2"/>
        <v>780</v>
      </c>
      <c r="L28" s="1">
        <f t="shared" si="3"/>
        <v>750</v>
      </c>
      <c r="M28" s="1">
        <f t="shared" si="4"/>
        <v>594</v>
      </c>
      <c r="N28" t="s">
        <v>135</v>
      </c>
      <c r="O28">
        <v>12</v>
      </c>
    </row>
    <row r="29" spans="1:15" x14ac:dyDescent="0.25">
      <c r="A29" t="s">
        <v>219</v>
      </c>
      <c r="B29" t="s">
        <v>220</v>
      </c>
      <c r="C29" t="s">
        <v>221</v>
      </c>
      <c r="D29" t="s">
        <v>222</v>
      </c>
      <c r="E29" t="s">
        <v>223</v>
      </c>
      <c r="F29" t="s">
        <v>223</v>
      </c>
      <c r="G29" t="s">
        <v>91</v>
      </c>
      <c r="H29" t="s">
        <v>224</v>
      </c>
      <c r="I29" s="1">
        <f t="shared" si="0"/>
        <v>1107</v>
      </c>
      <c r="J29" s="1">
        <f t="shared" si="1"/>
        <v>922.5</v>
      </c>
      <c r="K29" s="1">
        <f t="shared" si="2"/>
        <v>799.5</v>
      </c>
      <c r="L29" s="1">
        <f t="shared" si="3"/>
        <v>768.75</v>
      </c>
      <c r="M29" s="1">
        <f t="shared" si="4"/>
        <v>608.85</v>
      </c>
      <c r="N29" t="s">
        <v>225</v>
      </c>
      <c r="O29">
        <v>12</v>
      </c>
    </row>
    <row r="30" spans="1:15" x14ac:dyDescent="0.25">
      <c r="A30" t="s">
        <v>284</v>
      </c>
      <c r="B30" t="s">
        <v>285</v>
      </c>
      <c r="C30" t="s">
        <v>278</v>
      </c>
      <c r="D30" t="s">
        <v>286</v>
      </c>
      <c r="E30" t="s">
        <v>287</v>
      </c>
      <c r="F30" t="s">
        <v>287</v>
      </c>
      <c r="G30" t="s">
        <v>288</v>
      </c>
      <c r="H30" t="s">
        <v>289</v>
      </c>
      <c r="I30" s="1">
        <f t="shared" si="0"/>
        <v>1053</v>
      </c>
      <c r="J30" s="1">
        <f t="shared" si="1"/>
        <v>877.5</v>
      </c>
      <c r="K30" s="1">
        <f t="shared" si="2"/>
        <v>760.5</v>
      </c>
      <c r="L30" s="1">
        <f t="shared" si="3"/>
        <v>731.25</v>
      </c>
      <c r="M30" s="1">
        <f t="shared" si="4"/>
        <v>579.15</v>
      </c>
      <c r="N30" t="s">
        <v>290</v>
      </c>
      <c r="O30">
        <v>12</v>
      </c>
    </row>
    <row r="31" spans="1:15" x14ac:dyDescent="0.25">
      <c r="A31" t="s">
        <v>300</v>
      </c>
      <c r="B31" t="s">
        <v>301</v>
      </c>
      <c r="C31" t="s">
        <v>302</v>
      </c>
      <c r="D31" t="s">
        <v>303</v>
      </c>
      <c r="E31" t="s">
        <v>304</v>
      </c>
      <c r="F31" t="s">
        <v>304</v>
      </c>
      <c r="G31" t="s">
        <v>305</v>
      </c>
      <c r="H31" t="s">
        <v>306</v>
      </c>
      <c r="I31" s="1">
        <f t="shared" si="0"/>
        <v>2214</v>
      </c>
      <c r="J31" s="1">
        <f t="shared" si="1"/>
        <v>1845</v>
      </c>
      <c r="K31" s="1">
        <f t="shared" si="2"/>
        <v>1599</v>
      </c>
      <c r="L31" s="1">
        <f t="shared" si="3"/>
        <v>1537.5</v>
      </c>
      <c r="M31" s="1">
        <f t="shared" si="4"/>
        <v>1217.7</v>
      </c>
      <c r="N31" t="s">
        <v>307</v>
      </c>
      <c r="O31">
        <v>12</v>
      </c>
    </row>
    <row r="32" spans="1:15" x14ac:dyDescent="0.25">
      <c r="A32" t="s">
        <v>354</v>
      </c>
      <c r="B32" t="s">
        <v>355</v>
      </c>
      <c r="C32" t="s">
        <v>356</v>
      </c>
      <c r="D32" t="s">
        <v>357</v>
      </c>
      <c r="E32" t="s">
        <v>358</v>
      </c>
      <c r="F32" t="s">
        <v>358</v>
      </c>
      <c r="G32" t="s">
        <v>359</v>
      </c>
      <c r="H32" t="s">
        <v>360</v>
      </c>
      <c r="I32" s="1">
        <f t="shared" si="0"/>
        <v>1431</v>
      </c>
      <c r="J32" s="1">
        <f t="shared" si="1"/>
        <v>1192.5</v>
      </c>
      <c r="K32" s="1">
        <f t="shared" si="2"/>
        <v>1033.5</v>
      </c>
      <c r="L32" s="1">
        <f t="shared" si="3"/>
        <v>993.75</v>
      </c>
      <c r="M32" s="1">
        <f t="shared" si="4"/>
        <v>787.05</v>
      </c>
      <c r="N32" t="s">
        <v>361</v>
      </c>
      <c r="O32">
        <v>12</v>
      </c>
    </row>
    <row r="33" spans="1:15" x14ac:dyDescent="0.25">
      <c r="A33" t="s">
        <v>376</v>
      </c>
      <c r="B33" t="s">
        <v>377</v>
      </c>
      <c r="C33" t="s">
        <v>378</v>
      </c>
      <c r="E33" t="s">
        <v>379</v>
      </c>
      <c r="F33" t="s">
        <v>379</v>
      </c>
      <c r="G33" t="s">
        <v>380</v>
      </c>
      <c r="I33" s="1">
        <f t="shared" si="0"/>
        <v>0</v>
      </c>
      <c r="J33" s="1">
        <f t="shared" si="1"/>
        <v>0</v>
      </c>
      <c r="K33" s="1">
        <f t="shared" si="2"/>
        <v>0</v>
      </c>
      <c r="L33" s="1">
        <f t="shared" si="3"/>
        <v>0</v>
      </c>
      <c r="M33" s="1">
        <f t="shared" si="4"/>
        <v>0</v>
      </c>
      <c r="N33" t="s">
        <v>381</v>
      </c>
      <c r="O33">
        <v>12</v>
      </c>
    </row>
    <row r="34" spans="1:15" x14ac:dyDescent="0.25">
      <c r="A34" t="s">
        <v>382</v>
      </c>
      <c r="B34" t="s">
        <v>383</v>
      </c>
      <c r="D34" t="s">
        <v>384</v>
      </c>
      <c r="E34" t="s">
        <v>385</v>
      </c>
      <c r="G34" t="s">
        <v>386</v>
      </c>
      <c r="H34" t="s">
        <v>387</v>
      </c>
      <c r="I34" s="1">
        <f t="shared" si="0"/>
        <v>1458</v>
      </c>
      <c r="J34" s="1">
        <f t="shared" si="1"/>
        <v>1215</v>
      </c>
      <c r="K34" s="1">
        <f t="shared" si="2"/>
        <v>1053</v>
      </c>
      <c r="L34" s="1">
        <f t="shared" si="3"/>
        <v>1012.5</v>
      </c>
      <c r="M34" s="1">
        <f t="shared" si="4"/>
        <v>801.9</v>
      </c>
      <c r="N34" t="s">
        <v>388</v>
      </c>
      <c r="O34">
        <v>12</v>
      </c>
    </row>
    <row r="35" spans="1:15" x14ac:dyDescent="0.25">
      <c r="A35" t="s">
        <v>430</v>
      </c>
      <c r="B35" t="s">
        <v>431</v>
      </c>
      <c r="C35" t="s">
        <v>432</v>
      </c>
      <c r="D35" t="s">
        <v>433</v>
      </c>
      <c r="E35" t="s">
        <v>434</v>
      </c>
      <c r="F35" t="s">
        <v>434</v>
      </c>
      <c r="G35" t="s">
        <v>435</v>
      </c>
      <c r="H35" t="s">
        <v>436</v>
      </c>
      <c r="I35" s="1">
        <f t="shared" si="0"/>
        <v>1809</v>
      </c>
      <c r="J35" s="1">
        <f t="shared" si="1"/>
        <v>1507.5</v>
      </c>
      <c r="K35" s="1">
        <f t="shared" si="2"/>
        <v>1306.5</v>
      </c>
      <c r="L35" s="1">
        <f t="shared" si="3"/>
        <v>1256.25</v>
      </c>
      <c r="M35" s="1">
        <f t="shared" si="4"/>
        <v>994.95</v>
      </c>
      <c r="N35" t="s">
        <v>437</v>
      </c>
      <c r="O35">
        <v>12</v>
      </c>
    </row>
    <row r="36" spans="1:15" x14ac:dyDescent="0.25">
      <c r="A36" t="s">
        <v>475</v>
      </c>
      <c r="B36" t="s">
        <v>476</v>
      </c>
      <c r="C36" t="s">
        <v>477</v>
      </c>
      <c r="D36" t="s">
        <v>478</v>
      </c>
      <c r="E36" t="s">
        <v>479</v>
      </c>
      <c r="F36" t="s">
        <v>479</v>
      </c>
      <c r="G36" t="s">
        <v>480</v>
      </c>
      <c r="H36" t="s">
        <v>481</v>
      </c>
      <c r="I36" s="1">
        <f t="shared" si="0"/>
        <v>1350</v>
      </c>
      <c r="J36" s="1">
        <f t="shared" si="1"/>
        <v>1125</v>
      </c>
      <c r="K36" s="1">
        <f t="shared" si="2"/>
        <v>975</v>
      </c>
      <c r="L36" s="1">
        <f t="shared" si="3"/>
        <v>937.5</v>
      </c>
      <c r="M36" s="1">
        <f t="shared" si="4"/>
        <v>742.5</v>
      </c>
      <c r="N36" t="s">
        <v>482</v>
      </c>
      <c r="O36">
        <v>12</v>
      </c>
    </row>
    <row r="37" spans="1:15" x14ac:dyDescent="0.25">
      <c r="A37" t="s">
        <v>490</v>
      </c>
      <c r="B37" t="s">
        <v>491</v>
      </c>
      <c r="C37" t="s">
        <v>492</v>
      </c>
      <c r="D37" t="s">
        <v>493</v>
      </c>
      <c r="E37" t="s">
        <v>494</v>
      </c>
      <c r="G37" t="s">
        <v>495</v>
      </c>
      <c r="H37" t="s">
        <v>496</v>
      </c>
      <c r="I37" s="1">
        <f t="shared" si="0"/>
        <v>2619</v>
      </c>
      <c r="J37" s="1">
        <f t="shared" si="1"/>
        <v>2182.5</v>
      </c>
      <c r="K37" s="1">
        <f t="shared" si="2"/>
        <v>1891.5</v>
      </c>
      <c r="L37" s="1">
        <f t="shared" si="3"/>
        <v>1818.75</v>
      </c>
      <c r="M37" s="1">
        <f t="shared" si="4"/>
        <v>1440.45</v>
      </c>
      <c r="N37" t="s">
        <v>497</v>
      </c>
      <c r="O37">
        <v>12</v>
      </c>
    </row>
    <row r="38" spans="1:15" x14ac:dyDescent="0.25">
      <c r="A38" t="s">
        <v>515</v>
      </c>
      <c r="B38" t="s">
        <v>516</v>
      </c>
      <c r="C38" t="s">
        <v>517</v>
      </c>
      <c r="D38" t="s">
        <v>518</v>
      </c>
      <c r="E38" t="s">
        <v>519</v>
      </c>
      <c r="G38" t="s">
        <v>520</v>
      </c>
      <c r="H38" t="s">
        <v>521</v>
      </c>
      <c r="I38" s="1">
        <f t="shared" si="0"/>
        <v>324</v>
      </c>
      <c r="J38" s="1">
        <f t="shared" si="1"/>
        <v>270</v>
      </c>
      <c r="K38" s="1">
        <f t="shared" si="2"/>
        <v>234</v>
      </c>
      <c r="L38" s="1">
        <f t="shared" si="3"/>
        <v>225</v>
      </c>
      <c r="M38" s="1">
        <f t="shared" si="4"/>
        <v>178.2</v>
      </c>
      <c r="N38" t="s">
        <v>522</v>
      </c>
      <c r="O38">
        <v>12</v>
      </c>
    </row>
    <row r="39" spans="1:15" x14ac:dyDescent="0.25">
      <c r="A39" t="s">
        <v>545</v>
      </c>
      <c r="B39" t="s">
        <v>546</v>
      </c>
      <c r="C39" t="s">
        <v>547</v>
      </c>
      <c r="D39" t="s">
        <v>548</v>
      </c>
      <c r="E39" t="s">
        <v>549</v>
      </c>
      <c r="F39" t="s">
        <v>549</v>
      </c>
      <c r="G39" t="s">
        <v>550</v>
      </c>
      <c r="H39" t="s">
        <v>551</v>
      </c>
      <c r="I39" s="1">
        <f t="shared" si="0"/>
        <v>1377</v>
      </c>
      <c r="J39" s="1">
        <f t="shared" si="1"/>
        <v>1147.5</v>
      </c>
      <c r="K39" s="1">
        <f t="shared" si="2"/>
        <v>994.5</v>
      </c>
      <c r="L39" s="1">
        <f t="shared" si="3"/>
        <v>956.25</v>
      </c>
      <c r="M39" s="1">
        <f t="shared" si="4"/>
        <v>757.35</v>
      </c>
      <c r="N39" t="s">
        <v>552</v>
      </c>
      <c r="O39">
        <v>12</v>
      </c>
    </row>
    <row r="40" spans="1:15" x14ac:dyDescent="0.25">
      <c r="A40" t="s">
        <v>558</v>
      </c>
      <c r="B40" t="s">
        <v>559</v>
      </c>
      <c r="C40" t="s">
        <v>560</v>
      </c>
      <c r="D40" t="s">
        <v>561</v>
      </c>
      <c r="E40" t="s">
        <v>562</v>
      </c>
      <c r="F40" t="s">
        <v>562</v>
      </c>
      <c r="G40" t="s">
        <v>125</v>
      </c>
      <c r="H40" t="s">
        <v>536</v>
      </c>
      <c r="I40" s="1">
        <f t="shared" si="0"/>
        <v>1485</v>
      </c>
      <c r="J40" s="1">
        <f t="shared" si="1"/>
        <v>1237.5</v>
      </c>
      <c r="K40" s="1">
        <f t="shared" si="2"/>
        <v>1072.5</v>
      </c>
      <c r="L40" s="1">
        <f t="shared" si="3"/>
        <v>1031.25</v>
      </c>
      <c r="M40" s="1">
        <f t="shared" si="4"/>
        <v>816.75</v>
      </c>
      <c r="N40" t="s">
        <v>563</v>
      </c>
      <c r="O40">
        <v>12</v>
      </c>
    </row>
    <row r="41" spans="1:15" x14ac:dyDescent="0.25">
      <c r="A41" t="s">
        <v>564</v>
      </c>
      <c r="B41" t="s">
        <v>565</v>
      </c>
      <c r="C41" t="s">
        <v>566</v>
      </c>
      <c r="D41" t="s">
        <v>567</v>
      </c>
      <c r="E41" t="s">
        <v>568</v>
      </c>
      <c r="F41" t="s">
        <v>568</v>
      </c>
      <c r="G41" t="s">
        <v>569</v>
      </c>
      <c r="I41" s="1">
        <f t="shared" si="0"/>
        <v>0</v>
      </c>
      <c r="J41" s="1">
        <f t="shared" si="1"/>
        <v>0</v>
      </c>
      <c r="K41" s="1">
        <f t="shared" si="2"/>
        <v>0</v>
      </c>
      <c r="L41" s="1">
        <f t="shared" si="3"/>
        <v>0</v>
      </c>
      <c r="M41" s="1">
        <f t="shared" si="4"/>
        <v>0</v>
      </c>
      <c r="O41">
        <v>12</v>
      </c>
    </row>
    <row r="42" spans="1:15" x14ac:dyDescent="0.25">
      <c r="A42" t="s">
        <v>596</v>
      </c>
      <c r="B42" t="s">
        <v>597</v>
      </c>
      <c r="C42" t="s">
        <v>598</v>
      </c>
      <c r="D42" t="s">
        <v>599</v>
      </c>
      <c r="E42" t="s">
        <v>600</v>
      </c>
      <c r="F42" t="s">
        <v>600</v>
      </c>
      <c r="G42" t="s">
        <v>601</v>
      </c>
      <c r="H42" t="s">
        <v>418</v>
      </c>
      <c r="I42" s="1">
        <f t="shared" si="0"/>
        <v>1296</v>
      </c>
      <c r="J42" s="1">
        <f t="shared" si="1"/>
        <v>1080</v>
      </c>
      <c r="K42" s="1">
        <f t="shared" si="2"/>
        <v>936</v>
      </c>
      <c r="L42" s="1">
        <f t="shared" si="3"/>
        <v>900</v>
      </c>
      <c r="M42" s="1">
        <f t="shared" si="4"/>
        <v>712.8</v>
      </c>
      <c r="N42" t="s">
        <v>602</v>
      </c>
      <c r="O42">
        <v>12</v>
      </c>
    </row>
    <row r="43" spans="1:15" x14ac:dyDescent="0.25">
      <c r="A43" t="s">
        <v>663</v>
      </c>
      <c r="B43" t="s">
        <v>664</v>
      </c>
      <c r="C43" t="s">
        <v>665</v>
      </c>
      <c r="D43" t="s">
        <v>666</v>
      </c>
      <c r="E43" t="s">
        <v>667</v>
      </c>
      <c r="F43" t="s">
        <v>667</v>
      </c>
      <c r="G43" t="s">
        <v>668</v>
      </c>
      <c r="H43" t="s">
        <v>100</v>
      </c>
      <c r="I43" s="1">
        <f t="shared" si="0"/>
        <v>1836</v>
      </c>
      <c r="J43" s="1">
        <f t="shared" si="1"/>
        <v>1530</v>
      </c>
      <c r="K43" s="1">
        <f t="shared" si="2"/>
        <v>1326</v>
      </c>
      <c r="L43" s="1">
        <f t="shared" si="3"/>
        <v>1275</v>
      </c>
      <c r="M43" s="1">
        <f t="shared" si="4"/>
        <v>1009.8</v>
      </c>
      <c r="N43" t="s">
        <v>669</v>
      </c>
      <c r="O43">
        <v>12</v>
      </c>
    </row>
    <row r="44" spans="1:15" x14ac:dyDescent="0.25">
      <c r="A44" t="s">
        <v>680</v>
      </c>
      <c r="B44" t="s">
        <v>681</v>
      </c>
      <c r="C44" t="s">
        <v>682</v>
      </c>
      <c r="D44" t="s">
        <v>683</v>
      </c>
      <c r="E44" t="s">
        <v>684</v>
      </c>
      <c r="G44" t="s">
        <v>472</v>
      </c>
      <c r="H44" t="s">
        <v>685</v>
      </c>
      <c r="I44" s="1">
        <f t="shared" si="0"/>
        <v>918</v>
      </c>
      <c r="J44" s="1">
        <f t="shared" si="1"/>
        <v>765</v>
      </c>
      <c r="K44" s="1">
        <f t="shared" si="2"/>
        <v>663</v>
      </c>
      <c r="L44" s="1">
        <f t="shared" si="3"/>
        <v>637.5</v>
      </c>
      <c r="M44" s="1">
        <f t="shared" si="4"/>
        <v>504.9</v>
      </c>
      <c r="N44" t="s">
        <v>686</v>
      </c>
      <c r="O44">
        <v>12</v>
      </c>
    </row>
    <row r="45" spans="1:15" x14ac:dyDescent="0.25">
      <c r="A45" t="s">
        <v>723</v>
      </c>
      <c r="B45" t="s">
        <v>724</v>
      </c>
      <c r="C45" t="s">
        <v>725</v>
      </c>
      <c r="D45" t="s">
        <v>726</v>
      </c>
      <c r="E45" t="s">
        <v>727</v>
      </c>
      <c r="G45" t="s">
        <v>728</v>
      </c>
      <c r="H45">
        <v>920</v>
      </c>
      <c r="I45" s="1">
        <f t="shared" si="0"/>
        <v>1656</v>
      </c>
      <c r="J45" s="1">
        <f t="shared" si="1"/>
        <v>1380</v>
      </c>
      <c r="K45" s="1">
        <f t="shared" si="2"/>
        <v>1196</v>
      </c>
      <c r="L45" s="1">
        <f t="shared" si="3"/>
        <v>1150</v>
      </c>
      <c r="M45" s="1">
        <f t="shared" si="4"/>
        <v>910.8</v>
      </c>
      <c r="N45" t="s">
        <v>729</v>
      </c>
      <c r="O45">
        <v>12</v>
      </c>
    </row>
    <row r="46" spans="1:15" x14ac:dyDescent="0.25">
      <c r="A46" t="s">
        <v>737</v>
      </c>
      <c r="B46" t="s">
        <v>738</v>
      </c>
      <c r="C46" t="s">
        <v>739</v>
      </c>
      <c r="D46" t="s">
        <v>740</v>
      </c>
      <c r="E46" t="s">
        <v>741</v>
      </c>
      <c r="F46" t="s">
        <v>741</v>
      </c>
      <c r="G46" t="s">
        <v>79</v>
      </c>
      <c r="H46" t="s">
        <v>481</v>
      </c>
      <c r="I46" s="1">
        <f t="shared" si="0"/>
        <v>1350</v>
      </c>
      <c r="J46" s="1">
        <f t="shared" si="1"/>
        <v>1125</v>
      </c>
      <c r="K46" s="1">
        <f t="shared" si="2"/>
        <v>975</v>
      </c>
      <c r="L46" s="1">
        <f t="shared" si="3"/>
        <v>937.5</v>
      </c>
      <c r="M46" s="1">
        <f t="shared" si="4"/>
        <v>742.5</v>
      </c>
      <c r="N46" t="s">
        <v>482</v>
      </c>
      <c r="O46">
        <v>12</v>
      </c>
    </row>
    <row r="47" spans="1:15" x14ac:dyDescent="0.25">
      <c r="A47" t="s">
        <v>766</v>
      </c>
      <c r="B47" t="s">
        <v>767</v>
      </c>
      <c r="D47" t="s">
        <v>768</v>
      </c>
      <c r="E47" t="s">
        <v>769</v>
      </c>
      <c r="G47" t="s">
        <v>692</v>
      </c>
      <c r="H47" t="s">
        <v>50</v>
      </c>
      <c r="I47" s="1">
        <f t="shared" si="0"/>
        <v>1620</v>
      </c>
      <c r="J47" s="1">
        <f t="shared" si="1"/>
        <v>1350</v>
      </c>
      <c r="K47" s="1">
        <f t="shared" si="2"/>
        <v>1170</v>
      </c>
      <c r="L47" s="1">
        <f t="shared" si="3"/>
        <v>1125</v>
      </c>
      <c r="M47" s="1">
        <f t="shared" si="4"/>
        <v>891</v>
      </c>
      <c r="N47" t="s">
        <v>693</v>
      </c>
      <c r="O47">
        <v>12</v>
      </c>
    </row>
    <row r="48" spans="1:15" x14ac:dyDescent="0.25">
      <c r="A48" t="s">
        <v>809</v>
      </c>
      <c r="B48" t="s">
        <v>810</v>
      </c>
      <c r="C48" t="s">
        <v>811</v>
      </c>
      <c r="D48" t="s">
        <v>812</v>
      </c>
      <c r="E48" t="s">
        <v>813</v>
      </c>
      <c r="F48" t="s">
        <v>813</v>
      </c>
      <c r="G48" t="s">
        <v>288</v>
      </c>
      <c r="I48" s="1">
        <f t="shared" si="0"/>
        <v>0</v>
      </c>
      <c r="J48" s="1">
        <f t="shared" si="1"/>
        <v>0</v>
      </c>
      <c r="K48" s="1">
        <f t="shared" si="2"/>
        <v>0</v>
      </c>
      <c r="L48" s="1">
        <f t="shared" si="3"/>
        <v>0</v>
      </c>
      <c r="M48" s="1">
        <f t="shared" si="4"/>
        <v>0</v>
      </c>
      <c r="N48" t="s">
        <v>814</v>
      </c>
      <c r="O48">
        <v>12</v>
      </c>
    </row>
    <row r="49" spans="1:15" x14ac:dyDescent="0.25">
      <c r="A49" t="s">
        <v>822</v>
      </c>
      <c r="B49" t="s">
        <v>823</v>
      </c>
      <c r="C49" t="s">
        <v>824</v>
      </c>
      <c r="D49" t="s">
        <v>825</v>
      </c>
      <c r="E49" t="s">
        <v>826</v>
      </c>
      <c r="F49" t="s">
        <v>826</v>
      </c>
      <c r="G49" t="s">
        <v>620</v>
      </c>
      <c r="H49" t="s">
        <v>50</v>
      </c>
      <c r="I49" s="1">
        <f t="shared" si="0"/>
        <v>1620</v>
      </c>
      <c r="J49" s="1">
        <f t="shared" si="1"/>
        <v>1350</v>
      </c>
      <c r="K49" s="1">
        <f t="shared" si="2"/>
        <v>1170</v>
      </c>
      <c r="L49" s="1">
        <f t="shared" si="3"/>
        <v>1125</v>
      </c>
      <c r="M49" s="1">
        <f t="shared" si="4"/>
        <v>891</v>
      </c>
      <c r="N49" t="s">
        <v>827</v>
      </c>
      <c r="O49">
        <v>12</v>
      </c>
    </row>
    <row r="50" spans="1:15" x14ac:dyDescent="0.25">
      <c r="A50" t="s">
        <v>422</v>
      </c>
      <c r="B50" t="s">
        <v>423</v>
      </c>
      <c r="C50" t="s">
        <v>424</v>
      </c>
      <c r="D50" t="s">
        <v>425</v>
      </c>
      <c r="E50" t="s">
        <v>426</v>
      </c>
      <c r="F50" t="s">
        <v>426</v>
      </c>
      <c r="G50" t="s">
        <v>427</v>
      </c>
      <c r="H50" t="s">
        <v>428</v>
      </c>
      <c r="I50" s="1">
        <f t="shared" si="0"/>
        <v>756</v>
      </c>
      <c r="J50" s="1">
        <f t="shared" si="1"/>
        <v>630</v>
      </c>
      <c r="K50" s="1">
        <f t="shared" si="2"/>
        <v>546</v>
      </c>
      <c r="L50" s="1">
        <f t="shared" si="3"/>
        <v>525</v>
      </c>
      <c r="M50" s="1">
        <f t="shared" si="4"/>
        <v>415.8</v>
      </c>
      <c r="N50" t="s">
        <v>429</v>
      </c>
      <c r="O50">
        <v>11</v>
      </c>
    </row>
    <row r="51" spans="1:15" x14ac:dyDescent="0.25">
      <c r="A51" t="s">
        <v>483</v>
      </c>
      <c r="B51" t="s">
        <v>484</v>
      </c>
      <c r="C51" t="s">
        <v>485</v>
      </c>
      <c r="D51" t="s">
        <v>486</v>
      </c>
      <c r="E51" t="s">
        <v>487</v>
      </c>
      <c r="F51" t="s">
        <v>487</v>
      </c>
      <c r="G51" t="s">
        <v>488</v>
      </c>
      <c r="I51" s="1">
        <f t="shared" si="0"/>
        <v>0</v>
      </c>
      <c r="J51" s="1">
        <f t="shared" si="1"/>
        <v>0</v>
      </c>
      <c r="K51" s="1">
        <f t="shared" si="2"/>
        <v>0</v>
      </c>
      <c r="L51" s="1">
        <f t="shared" si="3"/>
        <v>0</v>
      </c>
      <c r="M51" s="1">
        <f t="shared" si="4"/>
        <v>0</v>
      </c>
      <c r="N51" t="s">
        <v>489</v>
      </c>
      <c r="O51">
        <v>9</v>
      </c>
    </row>
    <row r="52" spans="1:15" x14ac:dyDescent="0.25">
      <c r="A52" t="s">
        <v>10</v>
      </c>
      <c r="D52" t="s">
        <v>10</v>
      </c>
      <c r="G52" t="s">
        <v>11</v>
      </c>
      <c r="I52" s="1">
        <f t="shared" si="0"/>
        <v>0</v>
      </c>
      <c r="J52" s="1">
        <f t="shared" si="1"/>
        <v>0</v>
      </c>
      <c r="K52" s="1">
        <f t="shared" si="2"/>
        <v>0</v>
      </c>
      <c r="L52" s="1">
        <f t="shared" si="3"/>
        <v>0</v>
      </c>
      <c r="M52" s="1">
        <f t="shared" si="4"/>
        <v>0</v>
      </c>
      <c r="N52" t="s">
        <v>12</v>
      </c>
      <c r="O52">
        <v>8</v>
      </c>
    </row>
    <row r="53" spans="1:15" x14ac:dyDescent="0.25">
      <c r="A53" t="s">
        <v>13</v>
      </c>
      <c r="B53" t="s">
        <v>14</v>
      </c>
      <c r="C53" t="s">
        <v>15</v>
      </c>
      <c r="D53" t="s">
        <v>16</v>
      </c>
      <c r="E53" t="s">
        <v>17</v>
      </c>
      <c r="G53" t="s">
        <v>18</v>
      </c>
      <c r="H53" t="s">
        <v>19</v>
      </c>
      <c r="I53" s="1">
        <f t="shared" si="0"/>
        <v>270</v>
      </c>
      <c r="J53" s="1">
        <f t="shared" si="1"/>
        <v>225</v>
      </c>
      <c r="K53" s="1">
        <f t="shared" si="2"/>
        <v>195</v>
      </c>
      <c r="L53" s="1">
        <f t="shared" si="3"/>
        <v>187.5</v>
      </c>
      <c r="M53" s="1">
        <f t="shared" si="4"/>
        <v>148.5</v>
      </c>
      <c r="N53" t="s">
        <v>20</v>
      </c>
      <c r="O53">
        <v>8</v>
      </c>
    </row>
    <row r="54" spans="1:15" x14ac:dyDescent="0.25">
      <c r="A54" t="s">
        <v>59</v>
      </c>
      <c r="B54" t="s">
        <v>60</v>
      </c>
      <c r="C54" t="s">
        <v>61</v>
      </c>
      <c r="D54" t="s">
        <v>62</v>
      </c>
      <c r="E54" t="s">
        <v>63</v>
      </c>
      <c r="G54" t="s">
        <v>41</v>
      </c>
      <c r="H54" t="s">
        <v>64</v>
      </c>
      <c r="I54" s="1">
        <f t="shared" si="0"/>
        <v>540</v>
      </c>
      <c r="J54" s="1">
        <f t="shared" si="1"/>
        <v>450</v>
      </c>
      <c r="K54" s="1">
        <f t="shared" si="2"/>
        <v>390</v>
      </c>
      <c r="L54" s="1">
        <f t="shared" si="3"/>
        <v>375</v>
      </c>
      <c r="M54" s="1">
        <f t="shared" si="4"/>
        <v>297</v>
      </c>
      <c r="N54" t="s">
        <v>65</v>
      </c>
      <c r="O54">
        <v>8</v>
      </c>
    </row>
    <row r="55" spans="1:15" x14ac:dyDescent="0.25">
      <c r="A55" t="s">
        <v>74</v>
      </c>
      <c r="B55" t="s">
        <v>75</v>
      </c>
      <c r="C55" t="s">
        <v>76</v>
      </c>
      <c r="D55" t="s">
        <v>77</v>
      </c>
      <c r="E55" t="s">
        <v>78</v>
      </c>
      <c r="F55" t="s">
        <v>78</v>
      </c>
      <c r="G55" t="s">
        <v>79</v>
      </c>
      <c r="H55" t="s">
        <v>80</v>
      </c>
      <c r="I55" s="1">
        <f t="shared" si="0"/>
        <v>1242</v>
      </c>
      <c r="J55" s="1">
        <f t="shared" si="1"/>
        <v>1035</v>
      </c>
      <c r="K55" s="1">
        <f t="shared" si="2"/>
        <v>897</v>
      </c>
      <c r="L55" s="1">
        <f t="shared" si="3"/>
        <v>862.5</v>
      </c>
      <c r="M55" s="1">
        <f t="shared" si="4"/>
        <v>683.1</v>
      </c>
      <c r="N55" t="s">
        <v>81</v>
      </c>
      <c r="O55">
        <v>8</v>
      </c>
    </row>
    <row r="56" spans="1:15" x14ac:dyDescent="0.25">
      <c r="A56" t="s">
        <v>82</v>
      </c>
      <c r="B56" t="s">
        <v>83</v>
      </c>
      <c r="C56" t="s">
        <v>84</v>
      </c>
      <c r="D56" t="s">
        <v>85</v>
      </c>
      <c r="E56" t="s">
        <v>86</v>
      </c>
      <c r="F56" t="s">
        <v>86</v>
      </c>
      <c r="G56" t="s">
        <v>87</v>
      </c>
      <c r="H56" t="s">
        <v>88</v>
      </c>
      <c r="I56" s="1">
        <f t="shared" si="0"/>
        <v>648</v>
      </c>
      <c r="J56" s="1">
        <f t="shared" si="1"/>
        <v>540</v>
      </c>
      <c r="K56" s="1">
        <f t="shared" si="2"/>
        <v>468</v>
      </c>
      <c r="L56" s="1">
        <f t="shared" si="3"/>
        <v>450</v>
      </c>
      <c r="M56" s="1">
        <f t="shared" si="4"/>
        <v>356.4</v>
      </c>
      <c r="N56" t="s">
        <v>89</v>
      </c>
      <c r="O56">
        <v>8</v>
      </c>
    </row>
    <row r="57" spans="1:15" x14ac:dyDescent="0.25">
      <c r="A57" t="s">
        <v>90</v>
      </c>
      <c r="D57" t="s">
        <v>90</v>
      </c>
      <c r="G57" t="s">
        <v>91</v>
      </c>
      <c r="H57" t="s">
        <v>92</v>
      </c>
      <c r="I57" s="1">
        <f t="shared" si="0"/>
        <v>1188</v>
      </c>
      <c r="J57" s="1">
        <f t="shared" si="1"/>
        <v>990</v>
      </c>
      <c r="K57" s="1">
        <f t="shared" si="2"/>
        <v>858</v>
      </c>
      <c r="L57" s="1">
        <f t="shared" si="3"/>
        <v>825</v>
      </c>
      <c r="M57" s="1">
        <f t="shared" si="4"/>
        <v>653.4</v>
      </c>
      <c r="N57" t="s">
        <v>93</v>
      </c>
      <c r="O57">
        <v>8</v>
      </c>
    </row>
    <row r="58" spans="1:15" x14ac:dyDescent="0.25">
      <c r="A58" t="s">
        <v>102</v>
      </c>
      <c r="B58" t="s">
        <v>103</v>
      </c>
      <c r="C58" t="s">
        <v>104</v>
      </c>
      <c r="D58" t="s">
        <v>105</v>
      </c>
      <c r="E58" t="s">
        <v>106</v>
      </c>
      <c r="G58" t="s">
        <v>107</v>
      </c>
      <c r="H58" t="s">
        <v>108</v>
      </c>
      <c r="I58" s="1">
        <f t="shared" si="0"/>
        <v>1134</v>
      </c>
      <c r="J58" s="1">
        <f t="shared" si="1"/>
        <v>945</v>
      </c>
      <c r="K58" s="1">
        <f t="shared" si="2"/>
        <v>819</v>
      </c>
      <c r="L58" s="1">
        <f t="shared" si="3"/>
        <v>787.5</v>
      </c>
      <c r="M58" s="1">
        <f t="shared" si="4"/>
        <v>623.70000000000005</v>
      </c>
      <c r="N58" t="s">
        <v>109</v>
      </c>
      <c r="O58">
        <v>8</v>
      </c>
    </row>
    <row r="59" spans="1:15" x14ac:dyDescent="0.25">
      <c r="A59" t="s">
        <v>144</v>
      </c>
      <c r="B59" t="s">
        <v>145</v>
      </c>
      <c r="C59" t="s">
        <v>146</v>
      </c>
      <c r="E59" t="s">
        <v>147</v>
      </c>
      <c r="F59" t="s">
        <v>147</v>
      </c>
      <c r="G59" t="s">
        <v>148</v>
      </c>
      <c r="I59" s="1">
        <f t="shared" si="0"/>
        <v>0</v>
      </c>
      <c r="J59" s="1">
        <f t="shared" si="1"/>
        <v>0</v>
      </c>
      <c r="K59" s="1">
        <f t="shared" si="2"/>
        <v>0</v>
      </c>
      <c r="L59" s="1">
        <f t="shared" si="3"/>
        <v>0</v>
      </c>
      <c r="M59" s="1">
        <f t="shared" si="4"/>
        <v>0</v>
      </c>
      <c r="O59">
        <v>8</v>
      </c>
    </row>
    <row r="60" spans="1:15" x14ac:dyDescent="0.25">
      <c r="A60" t="s">
        <v>149</v>
      </c>
      <c r="B60" t="s">
        <v>150</v>
      </c>
      <c r="C60" t="s">
        <v>151</v>
      </c>
      <c r="D60" t="s">
        <v>152</v>
      </c>
      <c r="E60" t="s">
        <v>153</v>
      </c>
      <c r="F60" t="s">
        <v>153</v>
      </c>
      <c r="G60" t="s">
        <v>154</v>
      </c>
      <c r="H60" t="s">
        <v>155</v>
      </c>
      <c r="I60" s="1">
        <f t="shared" si="0"/>
        <v>810</v>
      </c>
      <c r="J60" s="1">
        <f t="shared" si="1"/>
        <v>675</v>
      </c>
      <c r="K60" s="1">
        <f t="shared" si="2"/>
        <v>585</v>
      </c>
      <c r="L60" s="1">
        <f t="shared" si="3"/>
        <v>562.5</v>
      </c>
      <c r="M60" s="1">
        <f t="shared" si="4"/>
        <v>445.5</v>
      </c>
      <c r="N60" t="s">
        <v>156</v>
      </c>
      <c r="O60">
        <v>8</v>
      </c>
    </row>
    <row r="61" spans="1:15" x14ac:dyDescent="0.25">
      <c r="A61" t="s">
        <v>157</v>
      </c>
      <c r="B61" t="s">
        <v>158</v>
      </c>
      <c r="C61" t="s">
        <v>159</v>
      </c>
      <c r="D61" t="s">
        <v>160</v>
      </c>
      <c r="E61" t="s">
        <v>161</v>
      </c>
      <c r="G61" t="s">
        <v>118</v>
      </c>
      <c r="I61" s="1">
        <f t="shared" si="0"/>
        <v>0</v>
      </c>
      <c r="J61" s="1">
        <f t="shared" si="1"/>
        <v>0</v>
      </c>
      <c r="K61" s="1">
        <f t="shared" si="2"/>
        <v>0</v>
      </c>
      <c r="L61" s="1">
        <f t="shared" si="3"/>
        <v>0</v>
      </c>
      <c r="M61" s="1">
        <f t="shared" si="4"/>
        <v>0</v>
      </c>
      <c r="N61" t="s">
        <v>162</v>
      </c>
      <c r="O61">
        <v>8</v>
      </c>
    </row>
    <row r="62" spans="1:15" x14ac:dyDescent="0.25">
      <c r="A62" t="s">
        <v>163</v>
      </c>
      <c r="B62" t="s">
        <v>164</v>
      </c>
      <c r="C62" t="s">
        <v>165</v>
      </c>
      <c r="D62" t="s">
        <v>166</v>
      </c>
      <c r="E62" t="s">
        <v>167</v>
      </c>
      <c r="F62" t="s">
        <v>167</v>
      </c>
      <c r="G62" t="s">
        <v>168</v>
      </c>
      <c r="H62" t="s">
        <v>134</v>
      </c>
      <c r="I62" s="1">
        <f t="shared" si="0"/>
        <v>1080</v>
      </c>
      <c r="J62" s="1">
        <f t="shared" si="1"/>
        <v>900</v>
      </c>
      <c r="K62" s="1">
        <f t="shared" si="2"/>
        <v>780</v>
      </c>
      <c r="L62" s="1">
        <f t="shared" si="3"/>
        <v>750</v>
      </c>
      <c r="M62" s="1">
        <f t="shared" si="4"/>
        <v>594</v>
      </c>
      <c r="N62" t="s">
        <v>169</v>
      </c>
      <c r="O62">
        <v>8</v>
      </c>
    </row>
    <row r="63" spans="1:15" x14ac:dyDescent="0.25">
      <c r="A63" t="s">
        <v>170</v>
      </c>
      <c r="B63" t="s">
        <v>171</v>
      </c>
      <c r="C63" t="s">
        <v>172</v>
      </c>
      <c r="D63" t="s">
        <v>173</v>
      </c>
      <c r="E63" t="s">
        <v>174</v>
      </c>
      <c r="F63" t="s">
        <v>174</v>
      </c>
      <c r="G63" t="s">
        <v>168</v>
      </c>
      <c r="H63" t="s">
        <v>134</v>
      </c>
      <c r="I63" s="1">
        <f t="shared" si="0"/>
        <v>1080</v>
      </c>
      <c r="J63" s="1">
        <f t="shared" si="1"/>
        <v>900</v>
      </c>
      <c r="K63" s="1">
        <f t="shared" si="2"/>
        <v>780</v>
      </c>
      <c r="L63" s="1">
        <f t="shared" si="3"/>
        <v>750</v>
      </c>
      <c r="M63" s="1">
        <f t="shared" si="4"/>
        <v>594</v>
      </c>
      <c r="N63" t="s">
        <v>169</v>
      </c>
      <c r="O63">
        <v>8</v>
      </c>
    </row>
    <row r="64" spans="1:15" x14ac:dyDescent="0.25">
      <c r="A64" t="s">
        <v>188</v>
      </c>
      <c r="B64" t="s">
        <v>189</v>
      </c>
      <c r="C64" t="s">
        <v>190</v>
      </c>
      <c r="D64" t="s">
        <v>191</v>
      </c>
      <c r="E64" t="s">
        <v>192</v>
      </c>
      <c r="G64" t="s">
        <v>193</v>
      </c>
      <c r="H64" t="s">
        <v>92</v>
      </c>
      <c r="I64" s="1">
        <f t="shared" si="0"/>
        <v>1188</v>
      </c>
      <c r="J64" s="1">
        <f t="shared" si="1"/>
        <v>990</v>
      </c>
      <c r="K64" s="1">
        <f t="shared" si="2"/>
        <v>858</v>
      </c>
      <c r="L64" s="1">
        <f t="shared" si="3"/>
        <v>825</v>
      </c>
      <c r="M64" s="1">
        <f t="shared" si="4"/>
        <v>653.4</v>
      </c>
      <c r="N64" t="s">
        <v>194</v>
      </c>
      <c r="O64">
        <v>8</v>
      </c>
    </row>
    <row r="65" spans="1:15" x14ac:dyDescent="0.25">
      <c r="A65" t="s">
        <v>195</v>
      </c>
      <c r="B65" t="s">
        <v>196</v>
      </c>
      <c r="C65" t="s">
        <v>197</v>
      </c>
      <c r="D65" t="s">
        <v>198</v>
      </c>
      <c r="E65" t="s">
        <v>199</v>
      </c>
      <c r="F65" t="s">
        <v>199</v>
      </c>
      <c r="G65" t="s">
        <v>200</v>
      </c>
      <c r="I65" s="1">
        <f t="shared" si="0"/>
        <v>0</v>
      </c>
      <c r="J65" s="1">
        <f t="shared" si="1"/>
        <v>0</v>
      </c>
      <c r="K65" s="1">
        <f t="shared" si="2"/>
        <v>0</v>
      </c>
      <c r="L65" s="1">
        <f t="shared" si="3"/>
        <v>0</v>
      </c>
      <c r="M65" s="1">
        <f t="shared" si="4"/>
        <v>0</v>
      </c>
      <c r="N65" t="s">
        <v>201</v>
      </c>
      <c r="O65">
        <v>8</v>
      </c>
    </row>
    <row r="66" spans="1:15" x14ac:dyDescent="0.25">
      <c r="A66" t="s">
        <v>202</v>
      </c>
      <c r="B66" t="s">
        <v>203</v>
      </c>
      <c r="C66" t="s">
        <v>204</v>
      </c>
      <c r="D66" t="s">
        <v>205</v>
      </c>
      <c r="E66" t="s">
        <v>206</v>
      </c>
      <c r="F66" t="s">
        <v>206</v>
      </c>
      <c r="G66" t="s">
        <v>207</v>
      </c>
      <c r="H66">
        <v>369</v>
      </c>
      <c r="I66" s="1">
        <f t="shared" si="0"/>
        <v>664.2</v>
      </c>
      <c r="J66" s="1">
        <f t="shared" si="1"/>
        <v>553.5</v>
      </c>
      <c r="K66" s="1">
        <f t="shared" si="2"/>
        <v>479.7</v>
      </c>
      <c r="L66" s="1">
        <f t="shared" si="3"/>
        <v>461.25</v>
      </c>
      <c r="M66" s="1">
        <f t="shared" si="4"/>
        <v>365.31</v>
      </c>
      <c r="N66" t="s">
        <v>208</v>
      </c>
      <c r="O66">
        <v>8</v>
      </c>
    </row>
    <row r="67" spans="1:15" x14ac:dyDescent="0.25">
      <c r="A67" t="s">
        <v>209</v>
      </c>
      <c r="B67" t="s">
        <v>210</v>
      </c>
      <c r="C67" t="s">
        <v>211</v>
      </c>
      <c r="D67" t="s">
        <v>212</v>
      </c>
      <c r="E67" t="s">
        <v>213</v>
      </c>
      <c r="F67" t="s">
        <v>213</v>
      </c>
      <c r="G67" t="s">
        <v>207</v>
      </c>
      <c r="H67">
        <v>369</v>
      </c>
      <c r="I67" s="1">
        <f t="shared" ref="I67:I130" si="5">H67*1.8</f>
        <v>664.2</v>
      </c>
      <c r="J67" s="1">
        <f t="shared" ref="J67:J130" si="6">H67*1.5</f>
        <v>553.5</v>
      </c>
      <c r="K67" s="1">
        <f t="shared" ref="K67:K130" si="7">H67*1.3</f>
        <v>479.7</v>
      </c>
      <c r="L67" s="1">
        <f t="shared" ref="L67:L130" si="8">H67*1.25</f>
        <v>461.25</v>
      </c>
      <c r="M67" s="1">
        <f t="shared" ref="M67:M130" si="9">H67*0.99</f>
        <v>365.31</v>
      </c>
      <c r="N67" t="s">
        <v>208</v>
      </c>
      <c r="O67">
        <v>8</v>
      </c>
    </row>
    <row r="68" spans="1:15" x14ac:dyDescent="0.25">
      <c r="A68" t="s">
        <v>214</v>
      </c>
      <c r="B68" t="s">
        <v>215</v>
      </c>
      <c r="C68" t="s">
        <v>216</v>
      </c>
      <c r="D68" t="s">
        <v>217</v>
      </c>
      <c r="E68" t="s">
        <v>218</v>
      </c>
      <c r="F68" t="s">
        <v>218</v>
      </c>
      <c r="G68" t="s">
        <v>79</v>
      </c>
      <c r="H68" t="s">
        <v>80</v>
      </c>
      <c r="I68" s="1">
        <f t="shared" si="5"/>
        <v>1242</v>
      </c>
      <c r="J68" s="1">
        <f t="shared" si="6"/>
        <v>1035</v>
      </c>
      <c r="K68" s="1">
        <f t="shared" si="7"/>
        <v>897</v>
      </c>
      <c r="L68" s="1">
        <f t="shared" si="8"/>
        <v>862.5</v>
      </c>
      <c r="M68" s="1">
        <f t="shared" si="9"/>
        <v>683.1</v>
      </c>
      <c r="N68" t="s">
        <v>81</v>
      </c>
      <c r="O68">
        <v>8</v>
      </c>
    </row>
    <row r="69" spans="1:15" x14ac:dyDescent="0.25">
      <c r="A69" t="s">
        <v>226</v>
      </c>
      <c r="B69" t="s">
        <v>227</v>
      </c>
      <c r="C69" t="s">
        <v>228</v>
      </c>
      <c r="D69" t="s">
        <v>229</v>
      </c>
      <c r="E69" t="s">
        <v>230</v>
      </c>
      <c r="F69" t="s">
        <v>230</v>
      </c>
      <c r="G69" t="s">
        <v>231</v>
      </c>
      <c r="H69" t="s">
        <v>232</v>
      </c>
      <c r="I69" s="1">
        <f t="shared" si="5"/>
        <v>990</v>
      </c>
      <c r="J69" s="1">
        <f t="shared" si="6"/>
        <v>825</v>
      </c>
      <c r="K69" s="1">
        <f t="shared" si="7"/>
        <v>715</v>
      </c>
      <c r="L69" s="1">
        <f t="shared" si="8"/>
        <v>687.5</v>
      </c>
      <c r="M69" s="1">
        <f t="shared" si="9"/>
        <v>544.5</v>
      </c>
      <c r="N69" t="s">
        <v>233</v>
      </c>
      <c r="O69">
        <v>8</v>
      </c>
    </row>
    <row r="70" spans="1:15" x14ac:dyDescent="0.25">
      <c r="A70" t="s">
        <v>234</v>
      </c>
      <c r="B70" t="s">
        <v>235</v>
      </c>
      <c r="C70" t="s">
        <v>236</v>
      </c>
      <c r="D70" t="s">
        <v>237</v>
      </c>
      <c r="E70" t="s">
        <v>238</v>
      </c>
      <c r="G70" t="s">
        <v>239</v>
      </c>
      <c r="H70" t="s">
        <v>64</v>
      </c>
      <c r="I70" s="1">
        <f t="shared" si="5"/>
        <v>540</v>
      </c>
      <c r="J70" s="1">
        <f t="shared" si="6"/>
        <v>450</v>
      </c>
      <c r="K70" s="1">
        <f t="shared" si="7"/>
        <v>390</v>
      </c>
      <c r="L70" s="1">
        <f t="shared" si="8"/>
        <v>375</v>
      </c>
      <c r="M70" s="1">
        <f t="shared" si="9"/>
        <v>297</v>
      </c>
      <c r="N70" t="s">
        <v>240</v>
      </c>
      <c r="O70">
        <v>8</v>
      </c>
    </row>
    <row r="71" spans="1:15" x14ac:dyDescent="0.25">
      <c r="A71" t="s">
        <v>241</v>
      </c>
      <c r="B71" t="s">
        <v>242</v>
      </c>
      <c r="C71" t="s">
        <v>243</v>
      </c>
      <c r="D71" t="s">
        <v>244</v>
      </c>
      <c r="E71" t="s">
        <v>245</v>
      </c>
      <c r="F71" t="s">
        <v>245</v>
      </c>
      <c r="G71" t="s">
        <v>246</v>
      </c>
      <c r="H71" t="s">
        <v>92</v>
      </c>
      <c r="I71" s="1">
        <f t="shared" si="5"/>
        <v>1188</v>
      </c>
      <c r="J71" s="1">
        <f t="shared" si="6"/>
        <v>990</v>
      </c>
      <c r="K71" s="1">
        <f t="shared" si="7"/>
        <v>858</v>
      </c>
      <c r="L71" s="1">
        <f t="shared" si="8"/>
        <v>825</v>
      </c>
      <c r="M71" s="1">
        <f t="shared" si="9"/>
        <v>653.4</v>
      </c>
      <c r="N71" t="s">
        <v>247</v>
      </c>
      <c r="O71">
        <v>8</v>
      </c>
    </row>
    <row r="72" spans="1:15" x14ac:dyDescent="0.25">
      <c r="A72" t="s">
        <v>248</v>
      </c>
      <c r="B72" t="s">
        <v>249</v>
      </c>
      <c r="C72" t="s">
        <v>250</v>
      </c>
      <c r="D72" t="s">
        <v>251</v>
      </c>
      <c r="E72" t="s">
        <v>252</v>
      </c>
      <c r="F72" t="s">
        <v>252</v>
      </c>
      <c r="G72" t="s">
        <v>168</v>
      </c>
      <c r="I72" s="1">
        <f t="shared" si="5"/>
        <v>0</v>
      </c>
      <c r="J72" s="1">
        <f t="shared" si="6"/>
        <v>0</v>
      </c>
      <c r="K72" s="1">
        <f t="shared" si="7"/>
        <v>0</v>
      </c>
      <c r="L72" s="1">
        <f t="shared" si="8"/>
        <v>0</v>
      </c>
      <c r="M72" s="1">
        <f t="shared" si="9"/>
        <v>0</v>
      </c>
      <c r="N72" t="s">
        <v>253</v>
      </c>
      <c r="O72">
        <v>8</v>
      </c>
    </row>
    <row r="73" spans="1:15" x14ac:dyDescent="0.25">
      <c r="A73" t="s">
        <v>254</v>
      </c>
      <c r="B73" t="s">
        <v>255</v>
      </c>
      <c r="C73" t="s">
        <v>256</v>
      </c>
      <c r="E73" t="s">
        <v>257</v>
      </c>
      <c r="G73" t="s">
        <v>258</v>
      </c>
      <c r="I73" s="1">
        <f t="shared" si="5"/>
        <v>0</v>
      </c>
      <c r="J73" s="1">
        <f t="shared" si="6"/>
        <v>0</v>
      </c>
      <c r="K73" s="1">
        <f t="shared" si="7"/>
        <v>0</v>
      </c>
      <c r="L73" s="1">
        <f t="shared" si="8"/>
        <v>0</v>
      </c>
      <c r="M73" s="1">
        <f t="shared" si="9"/>
        <v>0</v>
      </c>
      <c r="N73" t="s">
        <v>259</v>
      </c>
      <c r="O73">
        <v>8</v>
      </c>
    </row>
    <row r="74" spans="1:15" x14ac:dyDescent="0.25">
      <c r="A74" t="s">
        <v>263</v>
      </c>
      <c r="B74" t="s">
        <v>264</v>
      </c>
      <c r="C74" t="s">
        <v>265</v>
      </c>
      <c r="D74" t="s">
        <v>266</v>
      </c>
      <c r="E74" t="s">
        <v>267</v>
      </c>
      <c r="F74" t="s">
        <v>267</v>
      </c>
      <c r="G74" t="s">
        <v>268</v>
      </c>
      <c r="I74" s="1">
        <f t="shared" si="5"/>
        <v>0</v>
      </c>
      <c r="J74" s="1">
        <f t="shared" si="6"/>
        <v>0</v>
      </c>
      <c r="K74" s="1">
        <f t="shared" si="7"/>
        <v>0</v>
      </c>
      <c r="L74" s="1">
        <f t="shared" si="8"/>
        <v>0</v>
      </c>
      <c r="M74" s="1">
        <f t="shared" si="9"/>
        <v>0</v>
      </c>
      <c r="N74" t="s">
        <v>269</v>
      </c>
      <c r="O74">
        <v>8</v>
      </c>
    </row>
    <row r="75" spans="1:15" x14ac:dyDescent="0.25">
      <c r="A75" t="s">
        <v>270</v>
      </c>
      <c r="B75" t="s">
        <v>271</v>
      </c>
      <c r="C75" t="s">
        <v>272</v>
      </c>
      <c r="D75" t="s">
        <v>273</v>
      </c>
      <c r="E75" t="s">
        <v>274</v>
      </c>
      <c r="G75" t="s">
        <v>275</v>
      </c>
      <c r="I75" s="1">
        <f t="shared" si="5"/>
        <v>0</v>
      </c>
      <c r="J75" s="1">
        <f t="shared" si="6"/>
        <v>0</v>
      </c>
      <c r="K75" s="1">
        <f t="shared" si="7"/>
        <v>0</v>
      </c>
      <c r="L75" s="1">
        <f t="shared" si="8"/>
        <v>0</v>
      </c>
      <c r="M75" s="1">
        <f t="shared" si="9"/>
        <v>0</v>
      </c>
      <c r="N75" t="s">
        <v>276</v>
      </c>
      <c r="O75">
        <v>8</v>
      </c>
    </row>
    <row r="76" spans="1:15" x14ac:dyDescent="0.25">
      <c r="A76" t="s">
        <v>277</v>
      </c>
      <c r="C76" t="s">
        <v>278</v>
      </c>
      <c r="D76" t="s">
        <v>279</v>
      </c>
      <c r="E76" t="s">
        <v>280</v>
      </c>
      <c r="F76" t="s">
        <v>280</v>
      </c>
      <c r="G76" t="s">
        <v>281</v>
      </c>
      <c r="H76" t="s">
        <v>282</v>
      </c>
      <c r="I76" s="1">
        <f t="shared" si="5"/>
        <v>936</v>
      </c>
      <c r="J76" s="1">
        <f t="shared" si="6"/>
        <v>780</v>
      </c>
      <c r="K76" s="1">
        <f t="shared" si="7"/>
        <v>676</v>
      </c>
      <c r="L76" s="1">
        <f t="shared" si="8"/>
        <v>650</v>
      </c>
      <c r="M76" s="1">
        <f t="shared" si="9"/>
        <v>514.79999999999995</v>
      </c>
      <c r="N76" t="s">
        <v>283</v>
      </c>
      <c r="O76">
        <v>8</v>
      </c>
    </row>
    <row r="77" spans="1:15" x14ac:dyDescent="0.25">
      <c r="A77" t="s">
        <v>291</v>
      </c>
      <c r="G77" t="s">
        <v>91</v>
      </c>
      <c r="H77" t="s">
        <v>92</v>
      </c>
      <c r="I77" s="1">
        <f t="shared" si="5"/>
        <v>1188</v>
      </c>
      <c r="J77" s="1">
        <f t="shared" si="6"/>
        <v>990</v>
      </c>
      <c r="K77" s="1">
        <f t="shared" si="7"/>
        <v>858</v>
      </c>
      <c r="L77" s="1">
        <f t="shared" si="8"/>
        <v>825</v>
      </c>
      <c r="M77" s="1">
        <f t="shared" si="9"/>
        <v>653.4</v>
      </c>
      <c r="N77" t="s">
        <v>93</v>
      </c>
      <c r="O77">
        <v>8</v>
      </c>
    </row>
    <row r="78" spans="1:15" x14ac:dyDescent="0.25">
      <c r="A78" t="s">
        <v>308</v>
      </c>
      <c r="B78" t="s">
        <v>309</v>
      </c>
      <c r="C78" t="s">
        <v>310</v>
      </c>
      <c r="D78" t="s">
        <v>311</v>
      </c>
      <c r="E78" t="s">
        <v>312</v>
      </c>
      <c r="F78" t="s">
        <v>312</v>
      </c>
      <c r="G78" t="s">
        <v>313</v>
      </c>
      <c r="I78" s="1">
        <f t="shared" si="5"/>
        <v>0</v>
      </c>
      <c r="J78" s="1">
        <f t="shared" si="6"/>
        <v>0</v>
      </c>
      <c r="K78" s="1">
        <f t="shared" si="7"/>
        <v>0</v>
      </c>
      <c r="L78" s="1">
        <f t="shared" si="8"/>
        <v>0</v>
      </c>
      <c r="M78" s="1">
        <f t="shared" si="9"/>
        <v>0</v>
      </c>
      <c r="N78" t="s">
        <v>314</v>
      </c>
      <c r="O78">
        <v>8</v>
      </c>
    </row>
    <row r="79" spans="1:15" x14ac:dyDescent="0.25">
      <c r="A79" t="s">
        <v>315</v>
      </c>
      <c r="B79" t="s">
        <v>316</v>
      </c>
      <c r="C79" t="s">
        <v>317</v>
      </c>
      <c r="D79" t="s">
        <v>318</v>
      </c>
      <c r="E79" t="s">
        <v>319</v>
      </c>
      <c r="F79" t="s">
        <v>319</v>
      </c>
      <c r="G79" t="s">
        <v>91</v>
      </c>
      <c r="H79" t="s">
        <v>224</v>
      </c>
      <c r="I79" s="1">
        <f t="shared" si="5"/>
        <v>1107</v>
      </c>
      <c r="J79" s="1">
        <f t="shared" si="6"/>
        <v>922.5</v>
      </c>
      <c r="K79" s="1">
        <f t="shared" si="7"/>
        <v>799.5</v>
      </c>
      <c r="L79" s="1">
        <f t="shared" si="8"/>
        <v>768.75</v>
      </c>
      <c r="M79" s="1">
        <f t="shared" si="9"/>
        <v>608.85</v>
      </c>
      <c r="N79" t="s">
        <v>225</v>
      </c>
      <c r="O79">
        <v>8</v>
      </c>
    </row>
    <row r="80" spans="1:15" x14ac:dyDescent="0.25">
      <c r="A80" t="s">
        <v>327</v>
      </c>
      <c r="B80" t="s">
        <v>328</v>
      </c>
      <c r="D80" t="s">
        <v>329</v>
      </c>
      <c r="E80" t="s">
        <v>330</v>
      </c>
      <c r="F80" t="s">
        <v>330</v>
      </c>
      <c r="G80" t="s">
        <v>305</v>
      </c>
      <c r="I80" s="1">
        <f t="shared" si="5"/>
        <v>0</v>
      </c>
      <c r="J80" s="1">
        <f t="shared" si="6"/>
        <v>0</v>
      </c>
      <c r="K80" s="1">
        <f t="shared" si="7"/>
        <v>0</v>
      </c>
      <c r="L80" s="1">
        <f t="shared" si="8"/>
        <v>0</v>
      </c>
      <c r="M80" s="1">
        <f t="shared" si="9"/>
        <v>0</v>
      </c>
      <c r="N80" t="s">
        <v>331</v>
      </c>
      <c r="O80">
        <v>8</v>
      </c>
    </row>
    <row r="81" spans="1:15" x14ac:dyDescent="0.25">
      <c r="A81" t="s">
        <v>332</v>
      </c>
      <c r="B81" t="s">
        <v>333</v>
      </c>
      <c r="C81" t="s">
        <v>334</v>
      </c>
      <c r="D81" t="s">
        <v>335</v>
      </c>
      <c r="E81" t="s">
        <v>336</v>
      </c>
      <c r="F81" t="s">
        <v>336</v>
      </c>
      <c r="G81" t="s">
        <v>337</v>
      </c>
      <c r="H81" t="s">
        <v>64</v>
      </c>
      <c r="I81" s="1">
        <f t="shared" si="5"/>
        <v>540</v>
      </c>
      <c r="J81" s="1">
        <f t="shared" si="6"/>
        <v>450</v>
      </c>
      <c r="K81" s="1">
        <f t="shared" si="7"/>
        <v>390</v>
      </c>
      <c r="L81" s="1">
        <f t="shared" si="8"/>
        <v>375</v>
      </c>
      <c r="M81" s="1">
        <f t="shared" si="9"/>
        <v>297</v>
      </c>
      <c r="N81" t="s">
        <v>338</v>
      </c>
      <c r="O81">
        <v>8</v>
      </c>
    </row>
    <row r="82" spans="1:15" x14ac:dyDescent="0.25">
      <c r="A82" t="s">
        <v>339</v>
      </c>
      <c r="B82" t="s">
        <v>340</v>
      </c>
      <c r="C82" t="s">
        <v>341</v>
      </c>
      <c r="D82" t="s">
        <v>342</v>
      </c>
      <c r="E82" t="s">
        <v>343</v>
      </c>
      <c r="G82" t="s">
        <v>344</v>
      </c>
      <c r="H82" t="s">
        <v>345</v>
      </c>
      <c r="I82" s="1">
        <f t="shared" si="5"/>
        <v>837</v>
      </c>
      <c r="J82" s="1">
        <f t="shared" si="6"/>
        <v>697.5</v>
      </c>
      <c r="K82" s="1">
        <f t="shared" si="7"/>
        <v>604.5</v>
      </c>
      <c r="L82" s="1">
        <f t="shared" si="8"/>
        <v>581.25</v>
      </c>
      <c r="M82" s="1">
        <f t="shared" si="9"/>
        <v>460.35</v>
      </c>
      <c r="N82" t="s">
        <v>346</v>
      </c>
      <c r="O82">
        <v>8</v>
      </c>
    </row>
    <row r="83" spans="1:15" x14ac:dyDescent="0.25">
      <c r="A83" t="s">
        <v>347</v>
      </c>
      <c r="B83" t="s">
        <v>348</v>
      </c>
      <c r="C83" t="s">
        <v>349</v>
      </c>
      <c r="D83" t="s">
        <v>350</v>
      </c>
      <c r="E83" t="s">
        <v>351</v>
      </c>
      <c r="G83" t="s">
        <v>352</v>
      </c>
      <c r="H83" t="s">
        <v>155</v>
      </c>
      <c r="I83" s="1">
        <f t="shared" si="5"/>
        <v>810</v>
      </c>
      <c r="J83" s="1">
        <f t="shared" si="6"/>
        <v>675</v>
      </c>
      <c r="K83" s="1">
        <f t="shared" si="7"/>
        <v>585</v>
      </c>
      <c r="L83" s="1">
        <f t="shared" si="8"/>
        <v>562.5</v>
      </c>
      <c r="M83" s="1">
        <f t="shared" si="9"/>
        <v>445.5</v>
      </c>
      <c r="N83" t="s">
        <v>353</v>
      </c>
      <c r="O83">
        <v>8</v>
      </c>
    </row>
    <row r="84" spans="1:15" x14ac:dyDescent="0.25">
      <c r="A84" t="s">
        <v>369</v>
      </c>
      <c r="B84" t="s">
        <v>370</v>
      </c>
      <c r="C84" t="s">
        <v>371</v>
      </c>
      <c r="D84" t="s">
        <v>372</v>
      </c>
      <c r="E84" t="s">
        <v>373</v>
      </c>
      <c r="F84" t="s">
        <v>373</v>
      </c>
      <c r="G84" t="s">
        <v>374</v>
      </c>
      <c r="I84" s="1">
        <f t="shared" si="5"/>
        <v>0</v>
      </c>
      <c r="J84" s="1">
        <f t="shared" si="6"/>
        <v>0</v>
      </c>
      <c r="K84" s="1">
        <f t="shared" si="7"/>
        <v>0</v>
      </c>
      <c r="L84" s="1">
        <f t="shared" si="8"/>
        <v>0</v>
      </c>
      <c r="M84" s="1">
        <f t="shared" si="9"/>
        <v>0</v>
      </c>
      <c r="N84" t="s">
        <v>375</v>
      </c>
      <c r="O84">
        <v>8</v>
      </c>
    </row>
    <row r="85" spans="1:15" x14ac:dyDescent="0.25">
      <c r="A85" t="s">
        <v>389</v>
      </c>
      <c r="B85" t="s">
        <v>390</v>
      </c>
      <c r="C85" t="s">
        <v>391</v>
      </c>
      <c r="D85" t="s">
        <v>392</v>
      </c>
      <c r="E85" t="s">
        <v>393</v>
      </c>
      <c r="F85" t="s">
        <v>393</v>
      </c>
      <c r="G85" t="s">
        <v>394</v>
      </c>
      <c r="H85" t="s">
        <v>395</v>
      </c>
      <c r="I85" s="1">
        <f t="shared" si="5"/>
        <v>459</v>
      </c>
      <c r="J85" s="1">
        <f t="shared" si="6"/>
        <v>382.5</v>
      </c>
      <c r="K85" s="1">
        <f t="shared" si="7"/>
        <v>331.5</v>
      </c>
      <c r="L85" s="1">
        <f t="shared" si="8"/>
        <v>318.75</v>
      </c>
      <c r="M85" s="1">
        <f t="shared" si="9"/>
        <v>252.45</v>
      </c>
      <c r="N85" t="s">
        <v>396</v>
      </c>
      <c r="O85">
        <v>8</v>
      </c>
    </row>
    <row r="86" spans="1:15" x14ac:dyDescent="0.25">
      <c r="A86" t="s">
        <v>279</v>
      </c>
      <c r="B86" t="s">
        <v>397</v>
      </c>
      <c r="C86" t="s">
        <v>398</v>
      </c>
      <c r="D86" t="s">
        <v>399</v>
      </c>
      <c r="E86" t="s">
        <v>400</v>
      </c>
      <c r="F86" t="s">
        <v>400</v>
      </c>
      <c r="G86" t="s">
        <v>281</v>
      </c>
      <c r="H86" t="s">
        <v>282</v>
      </c>
      <c r="I86" s="1">
        <f t="shared" si="5"/>
        <v>936</v>
      </c>
      <c r="J86" s="1">
        <f t="shared" si="6"/>
        <v>780</v>
      </c>
      <c r="K86" s="1">
        <f t="shared" si="7"/>
        <v>676</v>
      </c>
      <c r="L86" s="1">
        <f t="shared" si="8"/>
        <v>650</v>
      </c>
      <c r="M86" s="1">
        <f t="shared" si="9"/>
        <v>514.79999999999995</v>
      </c>
      <c r="N86" t="s">
        <v>283</v>
      </c>
      <c r="O86">
        <v>8</v>
      </c>
    </row>
    <row r="87" spans="1:15" x14ac:dyDescent="0.25">
      <c r="A87" t="s">
        <v>401</v>
      </c>
      <c r="B87" t="s">
        <v>402</v>
      </c>
      <c r="D87" t="s">
        <v>403</v>
      </c>
      <c r="E87" t="s">
        <v>404</v>
      </c>
      <c r="F87" t="s">
        <v>404</v>
      </c>
      <c r="G87" t="s">
        <v>87</v>
      </c>
      <c r="I87" s="1">
        <f t="shared" si="5"/>
        <v>0</v>
      </c>
      <c r="J87" s="1">
        <f t="shared" si="6"/>
        <v>0</v>
      </c>
      <c r="K87" s="1">
        <f t="shared" si="7"/>
        <v>0</v>
      </c>
      <c r="L87" s="1">
        <f t="shared" si="8"/>
        <v>0</v>
      </c>
      <c r="M87" s="1">
        <f t="shared" si="9"/>
        <v>0</v>
      </c>
      <c r="N87" t="s">
        <v>405</v>
      </c>
      <c r="O87">
        <v>8</v>
      </c>
    </row>
    <row r="88" spans="1:15" x14ac:dyDescent="0.25">
      <c r="A88" t="s">
        <v>406</v>
      </c>
      <c r="B88" t="s">
        <v>407</v>
      </c>
      <c r="C88" t="s">
        <v>408</v>
      </c>
      <c r="D88" t="s">
        <v>409</v>
      </c>
      <c r="E88" t="s">
        <v>410</v>
      </c>
      <c r="F88" t="s">
        <v>410</v>
      </c>
      <c r="G88" t="s">
        <v>411</v>
      </c>
      <c r="I88" s="1">
        <f t="shared" si="5"/>
        <v>0</v>
      </c>
      <c r="J88" s="1">
        <f t="shared" si="6"/>
        <v>0</v>
      </c>
      <c r="K88" s="1">
        <f t="shared" si="7"/>
        <v>0</v>
      </c>
      <c r="L88" s="1">
        <f t="shared" si="8"/>
        <v>0</v>
      </c>
      <c r="M88" s="1">
        <f t="shared" si="9"/>
        <v>0</v>
      </c>
      <c r="N88" t="s">
        <v>412</v>
      </c>
      <c r="O88">
        <v>8</v>
      </c>
    </row>
    <row r="89" spans="1:15" x14ac:dyDescent="0.25">
      <c r="A89" t="s">
        <v>420</v>
      </c>
      <c r="D89" t="s">
        <v>420</v>
      </c>
      <c r="G89" t="s">
        <v>305</v>
      </c>
      <c r="I89" s="1">
        <f t="shared" si="5"/>
        <v>0</v>
      </c>
      <c r="J89" s="1">
        <f t="shared" si="6"/>
        <v>0</v>
      </c>
      <c r="K89" s="1">
        <f t="shared" si="7"/>
        <v>0</v>
      </c>
      <c r="L89" s="1">
        <f t="shared" si="8"/>
        <v>0</v>
      </c>
      <c r="M89" s="1">
        <f t="shared" si="9"/>
        <v>0</v>
      </c>
      <c r="N89" t="s">
        <v>421</v>
      </c>
      <c r="O89">
        <v>8</v>
      </c>
    </row>
    <row r="90" spans="1:15" x14ac:dyDescent="0.25">
      <c r="A90" t="s">
        <v>438</v>
      </c>
      <c r="B90" t="s">
        <v>439</v>
      </c>
      <c r="C90" t="s">
        <v>440</v>
      </c>
      <c r="D90" t="s">
        <v>441</v>
      </c>
      <c r="E90" t="s">
        <v>442</v>
      </c>
      <c r="F90" t="s">
        <v>442</v>
      </c>
      <c r="G90" t="s">
        <v>443</v>
      </c>
      <c r="H90" t="s">
        <v>444</v>
      </c>
      <c r="I90" s="1">
        <f t="shared" si="5"/>
        <v>621</v>
      </c>
      <c r="J90" s="1">
        <f t="shared" si="6"/>
        <v>517.5</v>
      </c>
      <c r="K90" s="1">
        <f t="shared" si="7"/>
        <v>448.5</v>
      </c>
      <c r="L90" s="1">
        <f t="shared" si="8"/>
        <v>431.25</v>
      </c>
      <c r="M90" s="1">
        <f t="shared" si="9"/>
        <v>341.55</v>
      </c>
      <c r="N90" t="s">
        <v>445</v>
      </c>
      <c r="O90">
        <v>8</v>
      </c>
    </row>
    <row r="91" spans="1:15" x14ac:dyDescent="0.25">
      <c r="A91" t="s">
        <v>446</v>
      </c>
      <c r="B91" t="s">
        <v>447</v>
      </c>
      <c r="C91" t="s">
        <v>448</v>
      </c>
      <c r="D91" t="s">
        <v>449</v>
      </c>
      <c r="E91" t="s">
        <v>450</v>
      </c>
      <c r="F91" t="s">
        <v>450</v>
      </c>
      <c r="G91" t="s">
        <v>275</v>
      </c>
      <c r="H91" t="s">
        <v>142</v>
      </c>
      <c r="I91" s="1">
        <f t="shared" si="5"/>
        <v>783</v>
      </c>
      <c r="J91" s="1">
        <f t="shared" si="6"/>
        <v>652.5</v>
      </c>
      <c r="K91" s="1">
        <f t="shared" si="7"/>
        <v>565.5</v>
      </c>
      <c r="L91" s="1">
        <f t="shared" si="8"/>
        <v>543.75</v>
      </c>
      <c r="M91" s="1">
        <f t="shared" si="9"/>
        <v>430.65</v>
      </c>
      <c r="N91" t="s">
        <v>451</v>
      </c>
      <c r="O91">
        <v>8</v>
      </c>
    </row>
    <row r="92" spans="1:15" x14ac:dyDescent="0.25">
      <c r="A92" t="s">
        <v>452</v>
      </c>
      <c r="B92" t="s">
        <v>453</v>
      </c>
      <c r="C92" t="s">
        <v>454</v>
      </c>
      <c r="D92" t="s">
        <v>455</v>
      </c>
      <c r="E92" t="s">
        <v>456</v>
      </c>
      <c r="F92" t="s">
        <v>456</v>
      </c>
      <c r="G92" t="s">
        <v>457</v>
      </c>
      <c r="H92" t="s">
        <v>458</v>
      </c>
      <c r="I92" s="1">
        <f t="shared" si="5"/>
        <v>594</v>
      </c>
      <c r="J92" s="1">
        <f t="shared" si="6"/>
        <v>495</v>
      </c>
      <c r="K92" s="1">
        <f t="shared" si="7"/>
        <v>429</v>
      </c>
      <c r="L92" s="1">
        <f t="shared" si="8"/>
        <v>412.5</v>
      </c>
      <c r="M92" s="1">
        <f t="shared" si="9"/>
        <v>326.7</v>
      </c>
      <c r="N92" t="s">
        <v>459</v>
      </c>
      <c r="O92">
        <v>8</v>
      </c>
    </row>
    <row r="93" spans="1:15" x14ac:dyDescent="0.25">
      <c r="A93" t="s">
        <v>467</v>
      </c>
      <c r="B93" t="s">
        <v>468</v>
      </c>
      <c r="C93" t="s">
        <v>469</v>
      </c>
      <c r="D93" t="s">
        <v>470</v>
      </c>
      <c r="E93" t="s">
        <v>471</v>
      </c>
      <c r="G93" t="s">
        <v>472</v>
      </c>
      <c r="H93" t="s">
        <v>473</v>
      </c>
      <c r="I93" s="1">
        <f t="shared" si="5"/>
        <v>702</v>
      </c>
      <c r="J93" s="1">
        <f t="shared" si="6"/>
        <v>585</v>
      </c>
      <c r="K93" s="1">
        <f t="shared" si="7"/>
        <v>507</v>
      </c>
      <c r="L93" s="1">
        <f t="shared" si="8"/>
        <v>487.5</v>
      </c>
      <c r="M93" s="1">
        <f t="shared" si="9"/>
        <v>386.1</v>
      </c>
      <c r="N93" t="s">
        <v>474</v>
      </c>
      <c r="O93">
        <v>8</v>
      </c>
    </row>
    <row r="94" spans="1:15" x14ac:dyDescent="0.25">
      <c r="A94" t="s">
        <v>498</v>
      </c>
      <c r="B94" t="s">
        <v>499</v>
      </c>
      <c r="C94" t="s">
        <v>500</v>
      </c>
      <c r="D94" t="s">
        <v>501</v>
      </c>
      <c r="E94" t="s">
        <v>502</v>
      </c>
      <c r="F94" t="s">
        <v>502</v>
      </c>
      <c r="G94" t="s">
        <v>313</v>
      </c>
      <c r="I94" s="1">
        <f t="shared" si="5"/>
        <v>0</v>
      </c>
      <c r="J94" s="1">
        <f t="shared" si="6"/>
        <v>0</v>
      </c>
      <c r="K94" s="1">
        <f t="shared" si="7"/>
        <v>0</v>
      </c>
      <c r="L94" s="1">
        <f t="shared" si="8"/>
        <v>0</v>
      </c>
      <c r="M94" s="1">
        <f t="shared" si="9"/>
        <v>0</v>
      </c>
      <c r="N94" t="s">
        <v>503</v>
      </c>
      <c r="O94">
        <v>8</v>
      </c>
    </row>
    <row r="95" spans="1:15" x14ac:dyDescent="0.25">
      <c r="A95" t="s">
        <v>504</v>
      </c>
      <c r="D95" t="s">
        <v>504</v>
      </c>
      <c r="E95" t="s">
        <v>505</v>
      </c>
      <c r="F95" t="s">
        <v>505</v>
      </c>
      <c r="G95" t="s">
        <v>506</v>
      </c>
      <c r="H95" t="s">
        <v>134</v>
      </c>
      <c r="I95" s="1">
        <f t="shared" si="5"/>
        <v>1080</v>
      </c>
      <c r="J95" s="1">
        <f t="shared" si="6"/>
        <v>900</v>
      </c>
      <c r="K95" s="1">
        <f t="shared" si="7"/>
        <v>780</v>
      </c>
      <c r="L95" s="1">
        <f t="shared" si="8"/>
        <v>750</v>
      </c>
      <c r="M95" s="1">
        <f t="shared" si="9"/>
        <v>594</v>
      </c>
      <c r="N95" t="s">
        <v>507</v>
      </c>
      <c r="O95">
        <v>8</v>
      </c>
    </row>
    <row r="96" spans="1:15" x14ac:dyDescent="0.25">
      <c r="A96" t="s">
        <v>508</v>
      </c>
      <c r="B96" t="s">
        <v>509</v>
      </c>
      <c r="C96" t="s">
        <v>510</v>
      </c>
      <c r="D96" t="s">
        <v>511</v>
      </c>
      <c r="E96" t="s">
        <v>512</v>
      </c>
      <c r="F96" t="s">
        <v>512</v>
      </c>
      <c r="G96" t="s">
        <v>495</v>
      </c>
      <c r="H96" t="s">
        <v>513</v>
      </c>
      <c r="I96" s="1">
        <f t="shared" si="5"/>
        <v>486</v>
      </c>
      <c r="J96" s="1">
        <f t="shared" si="6"/>
        <v>405</v>
      </c>
      <c r="K96" s="1">
        <f t="shared" si="7"/>
        <v>351</v>
      </c>
      <c r="L96" s="1">
        <f t="shared" si="8"/>
        <v>337.5</v>
      </c>
      <c r="M96" s="1">
        <f t="shared" si="9"/>
        <v>267.3</v>
      </c>
      <c r="N96" t="s">
        <v>514</v>
      </c>
      <c r="O96">
        <v>8</v>
      </c>
    </row>
    <row r="97" spans="1:15" x14ac:dyDescent="0.25">
      <c r="A97" t="s">
        <v>553</v>
      </c>
      <c r="B97" t="s">
        <v>554</v>
      </c>
      <c r="C97" t="s">
        <v>555</v>
      </c>
      <c r="D97" t="s">
        <v>556</v>
      </c>
      <c r="E97" t="s">
        <v>557</v>
      </c>
      <c r="F97" t="s">
        <v>557</v>
      </c>
      <c r="G97" t="s">
        <v>133</v>
      </c>
      <c r="H97" t="s">
        <v>134</v>
      </c>
      <c r="I97" s="1">
        <f t="shared" si="5"/>
        <v>1080</v>
      </c>
      <c r="J97" s="1">
        <f t="shared" si="6"/>
        <v>900</v>
      </c>
      <c r="K97" s="1">
        <f t="shared" si="7"/>
        <v>780</v>
      </c>
      <c r="L97" s="1">
        <f t="shared" si="8"/>
        <v>750</v>
      </c>
      <c r="M97" s="1">
        <f t="shared" si="9"/>
        <v>594</v>
      </c>
      <c r="N97" t="s">
        <v>135</v>
      </c>
      <c r="O97">
        <v>8</v>
      </c>
    </row>
    <row r="98" spans="1:15" x14ac:dyDescent="0.25">
      <c r="A98" t="s">
        <v>570</v>
      </c>
      <c r="G98" t="s">
        <v>168</v>
      </c>
      <c r="I98" s="1">
        <f t="shared" si="5"/>
        <v>0</v>
      </c>
      <c r="J98" s="1">
        <f t="shared" si="6"/>
        <v>0</v>
      </c>
      <c r="K98" s="1">
        <f t="shared" si="7"/>
        <v>0</v>
      </c>
      <c r="L98" s="1">
        <f t="shared" si="8"/>
        <v>0</v>
      </c>
      <c r="M98" s="1">
        <f t="shared" si="9"/>
        <v>0</v>
      </c>
      <c r="N98" t="s">
        <v>253</v>
      </c>
      <c r="O98">
        <v>8</v>
      </c>
    </row>
    <row r="99" spans="1:15" x14ac:dyDescent="0.25">
      <c r="A99" t="s">
        <v>571</v>
      </c>
      <c r="B99" t="s">
        <v>572</v>
      </c>
      <c r="C99" t="s">
        <v>573</v>
      </c>
      <c r="D99" t="s">
        <v>574</v>
      </c>
      <c r="E99" t="s">
        <v>575</v>
      </c>
      <c r="F99" t="s">
        <v>575</v>
      </c>
      <c r="G99" t="s">
        <v>168</v>
      </c>
      <c r="I99" s="1">
        <f t="shared" si="5"/>
        <v>0</v>
      </c>
      <c r="J99" s="1">
        <f t="shared" si="6"/>
        <v>0</v>
      </c>
      <c r="K99" s="1">
        <f t="shared" si="7"/>
        <v>0</v>
      </c>
      <c r="L99" s="1">
        <f t="shared" si="8"/>
        <v>0</v>
      </c>
      <c r="M99" s="1">
        <f t="shared" si="9"/>
        <v>0</v>
      </c>
      <c r="N99" t="s">
        <v>253</v>
      </c>
      <c r="O99">
        <v>8</v>
      </c>
    </row>
    <row r="100" spans="1:15" x14ac:dyDescent="0.25">
      <c r="A100" t="s">
        <v>576</v>
      </c>
      <c r="B100" t="s">
        <v>577</v>
      </c>
      <c r="C100" t="s">
        <v>578</v>
      </c>
      <c r="D100" t="s">
        <v>579</v>
      </c>
      <c r="E100" t="s">
        <v>580</v>
      </c>
      <c r="F100" t="s">
        <v>580</v>
      </c>
      <c r="G100" t="s">
        <v>480</v>
      </c>
      <c r="H100" t="s">
        <v>543</v>
      </c>
      <c r="I100" s="1">
        <f t="shared" si="5"/>
        <v>675</v>
      </c>
      <c r="J100" s="1">
        <f t="shared" si="6"/>
        <v>562.5</v>
      </c>
      <c r="K100" s="1">
        <f t="shared" si="7"/>
        <v>487.5</v>
      </c>
      <c r="L100" s="1">
        <f t="shared" si="8"/>
        <v>468.75</v>
      </c>
      <c r="M100" s="1">
        <f t="shared" si="9"/>
        <v>371.25</v>
      </c>
      <c r="N100" t="s">
        <v>581</v>
      </c>
      <c r="O100">
        <v>8</v>
      </c>
    </row>
    <row r="101" spans="1:15" x14ac:dyDescent="0.25">
      <c r="A101" t="s">
        <v>582</v>
      </c>
      <c r="B101" t="s">
        <v>583</v>
      </c>
      <c r="C101" t="s">
        <v>584</v>
      </c>
      <c r="D101" t="s">
        <v>585</v>
      </c>
      <c r="E101" t="s">
        <v>586</v>
      </c>
      <c r="F101" t="s">
        <v>586</v>
      </c>
      <c r="G101" t="s">
        <v>587</v>
      </c>
      <c r="H101" t="s">
        <v>588</v>
      </c>
      <c r="I101" s="1">
        <f t="shared" si="5"/>
        <v>945</v>
      </c>
      <c r="J101" s="1">
        <f t="shared" si="6"/>
        <v>787.5</v>
      </c>
      <c r="K101" s="1">
        <f t="shared" si="7"/>
        <v>682.5</v>
      </c>
      <c r="L101" s="1">
        <f t="shared" si="8"/>
        <v>656.25</v>
      </c>
      <c r="M101" s="1">
        <f t="shared" si="9"/>
        <v>519.75</v>
      </c>
      <c r="N101" t="s">
        <v>589</v>
      </c>
      <c r="O101">
        <v>8</v>
      </c>
    </row>
    <row r="102" spans="1:15" x14ac:dyDescent="0.25">
      <c r="A102" t="s">
        <v>590</v>
      </c>
      <c r="B102" t="s">
        <v>591</v>
      </c>
      <c r="C102" t="s">
        <v>592</v>
      </c>
      <c r="D102" t="s">
        <v>593</v>
      </c>
      <c r="E102" t="s">
        <v>594</v>
      </c>
      <c r="F102" t="s">
        <v>594</v>
      </c>
      <c r="G102" t="s">
        <v>18</v>
      </c>
      <c r="H102" t="s">
        <v>155</v>
      </c>
      <c r="I102" s="1">
        <f t="shared" si="5"/>
        <v>810</v>
      </c>
      <c r="J102" s="1">
        <f t="shared" si="6"/>
        <v>675</v>
      </c>
      <c r="K102" s="1">
        <f t="shared" si="7"/>
        <v>585</v>
      </c>
      <c r="L102" s="1">
        <f t="shared" si="8"/>
        <v>562.5</v>
      </c>
      <c r="M102" s="1">
        <f t="shared" si="9"/>
        <v>445.5</v>
      </c>
      <c r="N102" t="s">
        <v>595</v>
      </c>
      <c r="O102">
        <v>8</v>
      </c>
    </row>
    <row r="103" spans="1:15" x14ac:dyDescent="0.25">
      <c r="A103" t="s">
        <v>603</v>
      </c>
      <c r="B103" t="s">
        <v>604</v>
      </c>
      <c r="C103" t="s">
        <v>605</v>
      </c>
      <c r="D103" t="s">
        <v>606</v>
      </c>
      <c r="E103" t="s">
        <v>607</v>
      </c>
      <c r="G103" t="s">
        <v>587</v>
      </c>
      <c r="H103" t="s">
        <v>608</v>
      </c>
      <c r="I103" s="1">
        <f t="shared" si="5"/>
        <v>1161</v>
      </c>
      <c r="J103" s="1">
        <f t="shared" si="6"/>
        <v>967.5</v>
      </c>
      <c r="K103" s="1">
        <f t="shared" si="7"/>
        <v>838.5</v>
      </c>
      <c r="L103" s="1">
        <f t="shared" si="8"/>
        <v>806.25</v>
      </c>
      <c r="M103" s="1">
        <f t="shared" si="9"/>
        <v>638.54999999999995</v>
      </c>
      <c r="N103" t="s">
        <v>609</v>
      </c>
      <c r="O103">
        <v>8</v>
      </c>
    </row>
    <row r="104" spans="1:15" x14ac:dyDescent="0.25">
      <c r="A104" t="s">
        <v>610</v>
      </c>
      <c r="B104" t="s">
        <v>611</v>
      </c>
      <c r="C104" t="s">
        <v>612</v>
      </c>
      <c r="E104" t="s">
        <v>613</v>
      </c>
      <c r="G104" t="s">
        <v>550</v>
      </c>
      <c r="I104" s="1">
        <f t="shared" si="5"/>
        <v>0</v>
      </c>
      <c r="J104" s="1">
        <f t="shared" si="6"/>
        <v>0</v>
      </c>
      <c r="K104" s="1">
        <f t="shared" si="7"/>
        <v>0</v>
      </c>
      <c r="L104" s="1">
        <f t="shared" si="8"/>
        <v>0</v>
      </c>
      <c r="M104" s="1">
        <f t="shared" si="9"/>
        <v>0</v>
      </c>
      <c r="N104" t="s">
        <v>614</v>
      </c>
      <c r="O104">
        <v>8</v>
      </c>
    </row>
    <row r="105" spans="1:15" x14ac:dyDescent="0.25">
      <c r="A105" t="s">
        <v>615</v>
      </c>
      <c r="B105" t="s">
        <v>616</v>
      </c>
      <c r="C105" t="s">
        <v>617</v>
      </c>
      <c r="D105" t="s">
        <v>618</v>
      </c>
      <c r="E105" t="s">
        <v>619</v>
      </c>
      <c r="F105" t="s">
        <v>619</v>
      </c>
      <c r="G105" t="s">
        <v>620</v>
      </c>
      <c r="I105" s="1">
        <f t="shared" si="5"/>
        <v>0</v>
      </c>
      <c r="J105" s="1">
        <f t="shared" si="6"/>
        <v>0</v>
      </c>
      <c r="K105" s="1">
        <f t="shared" si="7"/>
        <v>0</v>
      </c>
      <c r="L105" s="1">
        <f t="shared" si="8"/>
        <v>0</v>
      </c>
      <c r="M105" s="1">
        <f t="shared" si="9"/>
        <v>0</v>
      </c>
      <c r="N105" t="s">
        <v>621</v>
      </c>
      <c r="O105">
        <v>8</v>
      </c>
    </row>
    <row r="106" spans="1:15" x14ac:dyDescent="0.25">
      <c r="A106" t="s">
        <v>622</v>
      </c>
      <c r="B106" t="s">
        <v>623</v>
      </c>
      <c r="C106" t="s">
        <v>617</v>
      </c>
      <c r="D106" t="s">
        <v>618</v>
      </c>
      <c r="E106" t="s">
        <v>624</v>
      </c>
      <c r="F106" t="s">
        <v>624</v>
      </c>
      <c r="G106" t="s">
        <v>620</v>
      </c>
      <c r="I106" s="1">
        <f t="shared" si="5"/>
        <v>0</v>
      </c>
      <c r="J106" s="1">
        <f t="shared" si="6"/>
        <v>0</v>
      </c>
      <c r="K106" s="1">
        <f t="shared" si="7"/>
        <v>0</v>
      </c>
      <c r="L106" s="1">
        <f t="shared" si="8"/>
        <v>0</v>
      </c>
      <c r="M106" s="1">
        <f t="shared" si="9"/>
        <v>0</v>
      </c>
      <c r="N106" t="s">
        <v>621</v>
      </c>
      <c r="O106">
        <v>8</v>
      </c>
    </row>
    <row r="107" spans="1:15" x14ac:dyDescent="0.25">
      <c r="A107" t="s">
        <v>625</v>
      </c>
      <c r="B107" t="s">
        <v>616</v>
      </c>
      <c r="C107" t="s">
        <v>617</v>
      </c>
      <c r="D107" t="s">
        <v>618</v>
      </c>
      <c r="E107" t="s">
        <v>619</v>
      </c>
      <c r="F107" t="s">
        <v>626</v>
      </c>
      <c r="G107" t="s">
        <v>620</v>
      </c>
      <c r="I107" s="1">
        <f t="shared" si="5"/>
        <v>0</v>
      </c>
      <c r="J107" s="1">
        <f t="shared" si="6"/>
        <v>0</v>
      </c>
      <c r="K107" s="1">
        <f t="shared" si="7"/>
        <v>0</v>
      </c>
      <c r="L107" s="1">
        <f t="shared" si="8"/>
        <v>0</v>
      </c>
      <c r="M107" s="1">
        <f t="shared" si="9"/>
        <v>0</v>
      </c>
      <c r="N107" t="s">
        <v>621</v>
      </c>
      <c r="O107">
        <v>8</v>
      </c>
    </row>
    <row r="108" spans="1:15" x14ac:dyDescent="0.25">
      <c r="A108" t="s">
        <v>635</v>
      </c>
      <c r="B108" t="s">
        <v>636</v>
      </c>
      <c r="C108" t="s">
        <v>637</v>
      </c>
      <c r="D108" t="s">
        <v>638</v>
      </c>
      <c r="E108" t="s">
        <v>639</v>
      </c>
      <c r="G108" t="s">
        <v>352</v>
      </c>
      <c r="H108" t="s">
        <v>543</v>
      </c>
      <c r="I108" s="1">
        <f t="shared" si="5"/>
        <v>675</v>
      </c>
      <c r="J108" s="1">
        <f t="shared" si="6"/>
        <v>562.5</v>
      </c>
      <c r="K108" s="1">
        <f t="shared" si="7"/>
        <v>487.5</v>
      </c>
      <c r="L108" s="1">
        <f t="shared" si="8"/>
        <v>468.75</v>
      </c>
      <c r="M108" s="1">
        <f t="shared" si="9"/>
        <v>371.25</v>
      </c>
      <c r="N108" t="s">
        <v>640</v>
      </c>
      <c r="O108">
        <v>8</v>
      </c>
    </row>
    <row r="109" spans="1:15" x14ac:dyDescent="0.25">
      <c r="A109" t="s">
        <v>641</v>
      </c>
      <c r="B109" t="s">
        <v>642</v>
      </c>
      <c r="C109" t="s">
        <v>643</v>
      </c>
      <c r="D109" t="s">
        <v>644</v>
      </c>
      <c r="E109" t="s">
        <v>645</v>
      </c>
      <c r="F109" t="s">
        <v>645</v>
      </c>
      <c r="G109" t="s">
        <v>646</v>
      </c>
      <c r="H109" t="s">
        <v>289</v>
      </c>
      <c r="I109" s="1">
        <f t="shared" si="5"/>
        <v>1053</v>
      </c>
      <c r="J109" s="1">
        <f t="shared" si="6"/>
        <v>877.5</v>
      </c>
      <c r="K109" s="1">
        <f t="shared" si="7"/>
        <v>760.5</v>
      </c>
      <c r="L109" s="1">
        <f t="shared" si="8"/>
        <v>731.25</v>
      </c>
      <c r="M109" s="1">
        <f t="shared" si="9"/>
        <v>579.15</v>
      </c>
      <c r="N109" t="s">
        <v>647</v>
      </c>
      <c r="O109">
        <v>8</v>
      </c>
    </row>
    <row r="110" spans="1:15" x14ac:dyDescent="0.25">
      <c r="A110" t="s">
        <v>648</v>
      </c>
      <c r="G110" t="s">
        <v>313</v>
      </c>
      <c r="H110" t="s">
        <v>88</v>
      </c>
      <c r="I110" s="1">
        <f t="shared" si="5"/>
        <v>648</v>
      </c>
      <c r="J110" s="1">
        <f t="shared" si="6"/>
        <v>540</v>
      </c>
      <c r="K110" s="1">
        <f t="shared" si="7"/>
        <v>468</v>
      </c>
      <c r="L110" s="1">
        <f t="shared" si="8"/>
        <v>450</v>
      </c>
      <c r="M110" s="1">
        <f t="shared" si="9"/>
        <v>356.4</v>
      </c>
      <c r="N110" t="s">
        <v>649</v>
      </c>
      <c r="O110">
        <v>8</v>
      </c>
    </row>
    <row r="111" spans="1:15" x14ac:dyDescent="0.25">
      <c r="A111" t="s">
        <v>656</v>
      </c>
      <c r="B111" t="s">
        <v>657</v>
      </c>
      <c r="C111" t="s">
        <v>658</v>
      </c>
      <c r="D111" t="s">
        <v>659</v>
      </c>
      <c r="E111" t="s">
        <v>660</v>
      </c>
      <c r="F111" t="s">
        <v>660</v>
      </c>
      <c r="G111" t="s">
        <v>661</v>
      </c>
      <c r="H111" t="s">
        <v>64</v>
      </c>
      <c r="I111" s="1">
        <f t="shared" si="5"/>
        <v>540</v>
      </c>
      <c r="J111" s="1">
        <f t="shared" si="6"/>
        <v>450</v>
      </c>
      <c r="K111" s="1">
        <f t="shared" si="7"/>
        <v>390</v>
      </c>
      <c r="L111" s="1">
        <f t="shared" si="8"/>
        <v>375</v>
      </c>
      <c r="M111" s="1">
        <f t="shared" si="9"/>
        <v>297</v>
      </c>
      <c r="N111" t="s">
        <v>662</v>
      </c>
      <c r="O111">
        <v>8</v>
      </c>
    </row>
    <row r="112" spans="1:15" x14ac:dyDescent="0.25">
      <c r="A112" t="s">
        <v>670</v>
      </c>
      <c r="D112" t="s">
        <v>671</v>
      </c>
      <c r="E112" t="s">
        <v>672</v>
      </c>
      <c r="F112" t="s">
        <v>672</v>
      </c>
      <c r="G112" t="s">
        <v>380</v>
      </c>
      <c r="I112" s="1">
        <f t="shared" si="5"/>
        <v>0</v>
      </c>
      <c r="J112" s="1">
        <f t="shared" si="6"/>
        <v>0</v>
      </c>
      <c r="K112" s="1">
        <f t="shared" si="7"/>
        <v>0</v>
      </c>
      <c r="L112" s="1">
        <f t="shared" si="8"/>
        <v>0</v>
      </c>
      <c r="M112" s="1">
        <f t="shared" si="9"/>
        <v>0</v>
      </c>
      <c r="N112" t="s">
        <v>381</v>
      </c>
      <c r="O112">
        <v>8</v>
      </c>
    </row>
    <row r="113" spans="1:15" x14ac:dyDescent="0.25">
      <c r="A113" t="s">
        <v>673</v>
      </c>
      <c r="B113" t="s">
        <v>674</v>
      </c>
      <c r="C113" t="s">
        <v>675</v>
      </c>
      <c r="D113" t="s">
        <v>676</v>
      </c>
      <c r="E113" t="s">
        <v>677</v>
      </c>
      <c r="G113" t="s">
        <v>678</v>
      </c>
      <c r="I113" s="1">
        <f t="shared" si="5"/>
        <v>0</v>
      </c>
      <c r="J113" s="1">
        <f t="shared" si="6"/>
        <v>0</v>
      </c>
      <c r="K113" s="1">
        <f t="shared" si="7"/>
        <v>0</v>
      </c>
      <c r="L113" s="1">
        <f t="shared" si="8"/>
        <v>0</v>
      </c>
      <c r="M113" s="1">
        <f t="shared" si="9"/>
        <v>0</v>
      </c>
      <c r="N113" t="s">
        <v>679</v>
      </c>
      <c r="O113">
        <v>8</v>
      </c>
    </row>
    <row r="114" spans="1:15" x14ac:dyDescent="0.25">
      <c r="A114" t="s">
        <v>694</v>
      </c>
      <c r="B114" t="s">
        <v>695</v>
      </c>
      <c r="C114" t="s">
        <v>696</v>
      </c>
      <c r="D114" t="s">
        <v>697</v>
      </c>
      <c r="E114" t="s">
        <v>698</v>
      </c>
      <c r="F114" t="s">
        <v>698</v>
      </c>
      <c r="G114" t="s">
        <v>699</v>
      </c>
      <c r="I114" s="1">
        <f t="shared" si="5"/>
        <v>0</v>
      </c>
      <c r="J114" s="1">
        <f t="shared" si="6"/>
        <v>0</v>
      </c>
      <c r="K114" s="1">
        <f t="shared" si="7"/>
        <v>0</v>
      </c>
      <c r="L114" s="1">
        <f t="shared" si="8"/>
        <v>0</v>
      </c>
      <c r="M114" s="1">
        <f t="shared" si="9"/>
        <v>0</v>
      </c>
      <c r="N114" t="s">
        <v>700</v>
      </c>
      <c r="O114">
        <v>8</v>
      </c>
    </row>
    <row r="115" spans="1:15" x14ac:dyDescent="0.25">
      <c r="A115" t="s">
        <v>701</v>
      </c>
      <c r="B115" t="s">
        <v>695</v>
      </c>
      <c r="C115" t="s">
        <v>696</v>
      </c>
      <c r="D115" t="s">
        <v>697</v>
      </c>
      <c r="E115" t="s">
        <v>698</v>
      </c>
      <c r="F115" t="s">
        <v>698</v>
      </c>
      <c r="G115" t="s">
        <v>699</v>
      </c>
      <c r="I115" s="1">
        <f t="shared" si="5"/>
        <v>0</v>
      </c>
      <c r="J115" s="1">
        <f t="shared" si="6"/>
        <v>0</v>
      </c>
      <c r="K115" s="1">
        <f t="shared" si="7"/>
        <v>0</v>
      </c>
      <c r="L115" s="1">
        <f t="shared" si="8"/>
        <v>0</v>
      </c>
      <c r="M115" s="1">
        <f t="shared" si="9"/>
        <v>0</v>
      </c>
      <c r="N115" t="s">
        <v>700</v>
      </c>
      <c r="O115">
        <v>8</v>
      </c>
    </row>
    <row r="116" spans="1:15" x14ac:dyDescent="0.25">
      <c r="A116" t="s">
        <v>709</v>
      </c>
      <c r="B116" t="s">
        <v>710</v>
      </c>
      <c r="C116" t="s">
        <v>711</v>
      </c>
      <c r="D116" t="s">
        <v>712</v>
      </c>
      <c r="E116" t="s">
        <v>713</v>
      </c>
      <c r="G116" t="s">
        <v>520</v>
      </c>
      <c r="H116" t="s">
        <v>714</v>
      </c>
      <c r="I116" s="1">
        <f t="shared" si="5"/>
        <v>1026</v>
      </c>
      <c r="J116" s="1">
        <f t="shared" si="6"/>
        <v>855</v>
      </c>
      <c r="K116" s="1">
        <f t="shared" si="7"/>
        <v>741</v>
      </c>
      <c r="L116" s="1">
        <f t="shared" si="8"/>
        <v>712.5</v>
      </c>
      <c r="M116" s="1">
        <f t="shared" si="9"/>
        <v>564.29999999999995</v>
      </c>
      <c r="N116" t="s">
        <v>715</v>
      </c>
      <c r="O116">
        <v>8</v>
      </c>
    </row>
    <row r="117" spans="1:15" x14ac:dyDescent="0.25">
      <c r="A117" t="s">
        <v>730</v>
      </c>
      <c r="D117" t="s">
        <v>730</v>
      </c>
      <c r="G117" t="s">
        <v>731</v>
      </c>
      <c r="I117" s="1">
        <f t="shared" si="5"/>
        <v>0</v>
      </c>
      <c r="J117" s="1">
        <f t="shared" si="6"/>
        <v>0</v>
      </c>
      <c r="K117" s="1">
        <f t="shared" si="7"/>
        <v>0</v>
      </c>
      <c r="L117" s="1">
        <f t="shared" si="8"/>
        <v>0</v>
      </c>
      <c r="M117" s="1">
        <f t="shared" si="9"/>
        <v>0</v>
      </c>
      <c r="N117" t="s">
        <v>732</v>
      </c>
      <c r="O117">
        <v>8</v>
      </c>
    </row>
    <row r="118" spans="1:15" x14ac:dyDescent="0.25">
      <c r="A118" t="s">
        <v>733</v>
      </c>
      <c r="D118" t="s">
        <v>734</v>
      </c>
      <c r="G118" t="s">
        <v>11</v>
      </c>
      <c r="I118" s="1">
        <f t="shared" si="5"/>
        <v>0</v>
      </c>
      <c r="J118" s="1">
        <f t="shared" si="6"/>
        <v>0</v>
      </c>
      <c r="K118" s="1">
        <f t="shared" si="7"/>
        <v>0</v>
      </c>
      <c r="L118" s="1">
        <f t="shared" si="8"/>
        <v>0</v>
      </c>
      <c r="M118" s="1">
        <f t="shared" si="9"/>
        <v>0</v>
      </c>
      <c r="N118" t="s">
        <v>12</v>
      </c>
      <c r="O118">
        <v>8</v>
      </c>
    </row>
    <row r="119" spans="1:15" x14ac:dyDescent="0.25">
      <c r="A119" t="s">
        <v>735</v>
      </c>
      <c r="D119" t="s">
        <v>736</v>
      </c>
      <c r="G119" t="s">
        <v>91</v>
      </c>
      <c r="H119" t="s">
        <v>92</v>
      </c>
      <c r="I119" s="1">
        <f t="shared" si="5"/>
        <v>1188</v>
      </c>
      <c r="J119" s="1">
        <f t="shared" si="6"/>
        <v>990</v>
      </c>
      <c r="K119" s="1">
        <f t="shared" si="7"/>
        <v>858</v>
      </c>
      <c r="L119" s="1">
        <f t="shared" si="8"/>
        <v>825</v>
      </c>
      <c r="M119" s="1">
        <f t="shared" si="9"/>
        <v>653.4</v>
      </c>
      <c r="N119" t="s">
        <v>93</v>
      </c>
      <c r="O119">
        <v>8</v>
      </c>
    </row>
    <row r="120" spans="1:15" x14ac:dyDescent="0.25">
      <c r="A120" t="s">
        <v>742</v>
      </c>
      <c r="B120" t="s">
        <v>743</v>
      </c>
      <c r="C120" t="s">
        <v>744</v>
      </c>
      <c r="D120" t="s">
        <v>745</v>
      </c>
      <c r="E120" t="s">
        <v>746</v>
      </c>
      <c r="F120" t="s">
        <v>746</v>
      </c>
      <c r="G120" t="s">
        <v>258</v>
      </c>
      <c r="I120" s="1">
        <f t="shared" si="5"/>
        <v>0</v>
      </c>
      <c r="J120" s="1">
        <f t="shared" si="6"/>
        <v>0</v>
      </c>
      <c r="K120" s="1">
        <f t="shared" si="7"/>
        <v>0</v>
      </c>
      <c r="L120" s="1">
        <f t="shared" si="8"/>
        <v>0</v>
      </c>
      <c r="M120" s="1">
        <f t="shared" si="9"/>
        <v>0</v>
      </c>
      <c r="N120" t="s">
        <v>747</v>
      </c>
      <c r="O120">
        <v>8</v>
      </c>
    </row>
    <row r="121" spans="1:15" x14ac:dyDescent="0.25">
      <c r="A121" t="s">
        <v>748</v>
      </c>
      <c r="D121" t="s">
        <v>749</v>
      </c>
      <c r="E121" t="s">
        <v>750</v>
      </c>
      <c r="F121" t="s">
        <v>750</v>
      </c>
      <c r="G121" t="s">
        <v>133</v>
      </c>
      <c r="H121" t="s">
        <v>134</v>
      </c>
      <c r="I121" s="1">
        <f t="shared" si="5"/>
        <v>1080</v>
      </c>
      <c r="J121" s="1">
        <f t="shared" si="6"/>
        <v>900</v>
      </c>
      <c r="K121" s="1">
        <f t="shared" si="7"/>
        <v>780</v>
      </c>
      <c r="L121" s="1">
        <f t="shared" si="8"/>
        <v>750</v>
      </c>
      <c r="M121" s="1">
        <f t="shared" si="9"/>
        <v>594</v>
      </c>
      <c r="N121" t="s">
        <v>135</v>
      </c>
      <c r="O121">
        <v>8</v>
      </c>
    </row>
    <row r="122" spans="1:15" x14ac:dyDescent="0.25">
      <c r="A122" t="s">
        <v>751</v>
      </c>
      <c r="B122" t="s">
        <v>752</v>
      </c>
      <c r="C122" t="s">
        <v>753</v>
      </c>
      <c r="D122" t="s">
        <v>754</v>
      </c>
      <c r="E122" t="s">
        <v>755</v>
      </c>
      <c r="F122" t="s">
        <v>755</v>
      </c>
      <c r="G122" t="s">
        <v>337</v>
      </c>
      <c r="I122" s="1">
        <f t="shared" si="5"/>
        <v>0</v>
      </c>
      <c r="J122" s="1">
        <f t="shared" si="6"/>
        <v>0</v>
      </c>
      <c r="K122" s="1">
        <f t="shared" si="7"/>
        <v>0</v>
      </c>
      <c r="L122" s="1">
        <f t="shared" si="8"/>
        <v>0</v>
      </c>
      <c r="M122" s="1">
        <f t="shared" si="9"/>
        <v>0</v>
      </c>
      <c r="N122" t="s">
        <v>756</v>
      </c>
      <c r="O122">
        <v>8</v>
      </c>
    </row>
    <row r="123" spans="1:15" x14ac:dyDescent="0.25">
      <c r="A123" t="s">
        <v>757</v>
      </c>
      <c r="B123" t="s">
        <v>758</v>
      </c>
      <c r="C123" t="s">
        <v>759</v>
      </c>
      <c r="D123" t="s">
        <v>760</v>
      </c>
      <c r="E123" t="s">
        <v>761</v>
      </c>
      <c r="F123" t="s">
        <v>761</v>
      </c>
      <c r="G123" t="s">
        <v>87</v>
      </c>
      <c r="I123" s="1">
        <f t="shared" si="5"/>
        <v>0</v>
      </c>
      <c r="J123" s="1">
        <f t="shared" si="6"/>
        <v>0</v>
      </c>
      <c r="K123" s="1">
        <f t="shared" si="7"/>
        <v>0</v>
      </c>
      <c r="L123" s="1">
        <f t="shared" si="8"/>
        <v>0</v>
      </c>
      <c r="M123" s="1">
        <f t="shared" si="9"/>
        <v>0</v>
      </c>
      <c r="N123" t="s">
        <v>405</v>
      </c>
      <c r="O123">
        <v>8</v>
      </c>
    </row>
    <row r="124" spans="1:15" x14ac:dyDescent="0.25">
      <c r="A124" t="s">
        <v>762</v>
      </c>
      <c r="B124" t="s">
        <v>758</v>
      </c>
      <c r="C124" t="s">
        <v>759</v>
      </c>
      <c r="D124" t="s">
        <v>760</v>
      </c>
      <c r="E124" t="s">
        <v>761</v>
      </c>
      <c r="F124" t="s">
        <v>761</v>
      </c>
      <c r="G124" t="s">
        <v>87</v>
      </c>
      <c r="I124" s="1">
        <f t="shared" si="5"/>
        <v>0</v>
      </c>
      <c r="J124" s="1">
        <f t="shared" si="6"/>
        <v>0</v>
      </c>
      <c r="K124" s="1">
        <f t="shared" si="7"/>
        <v>0</v>
      </c>
      <c r="L124" s="1">
        <f t="shared" si="8"/>
        <v>0</v>
      </c>
      <c r="M124" s="1">
        <f t="shared" si="9"/>
        <v>0</v>
      </c>
      <c r="N124" t="s">
        <v>405</v>
      </c>
      <c r="O124">
        <v>8</v>
      </c>
    </row>
    <row r="125" spans="1:15" x14ac:dyDescent="0.25">
      <c r="A125" t="s">
        <v>763</v>
      </c>
      <c r="G125" t="s">
        <v>764</v>
      </c>
      <c r="I125" s="1">
        <f t="shared" si="5"/>
        <v>0</v>
      </c>
      <c r="J125" s="1">
        <f t="shared" si="6"/>
        <v>0</v>
      </c>
      <c r="K125" s="1">
        <f t="shared" si="7"/>
        <v>0</v>
      </c>
      <c r="L125" s="1">
        <f t="shared" si="8"/>
        <v>0</v>
      </c>
      <c r="M125" s="1">
        <f t="shared" si="9"/>
        <v>0</v>
      </c>
      <c r="N125" t="s">
        <v>765</v>
      </c>
      <c r="O125">
        <v>8</v>
      </c>
    </row>
    <row r="126" spans="1:15" x14ac:dyDescent="0.25">
      <c r="A126" t="s">
        <v>770</v>
      </c>
      <c r="B126" t="s">
        <v>771</v>
      </c>
      <c r="C126" t="s">
        <v>772</v>
      </c>
      <c r="E126" t="s">
        <v>773</v>
      </c>
      <c r="G126" t="s">
        <v>774</v>
      </c>
      <c r="I126" s="1">
        <f t="shared" si="5"/>
        <v>0</v>
      </c>
      <c r="J126" s="1">
        <f t="shared" si="6"/>
        <v>0</v>
      </c>
      <c r="K126" s="1">
        <f t="shared" si="7"/>
        <v>0</v>
      </c>
      <c r="L126" s="1">
        <f t="shared" si="8"/>
        <v>0</v>
      </c>
      <c r="M126" s="1">
        <f t="shared" si="9"/>
        <v>0</v>
      </c>
      <c r="N126" t="s">
        <v>775</v>
      </c>
      <c r="O126">
        <v>8</v>
      </c>
    </row>
    <row r="127" spans="1:15" x14ac:dyDescent="0.25">
      <c r="A127" t="s">
        <v>781</v>
      </c>
      <c r="B127" t="s">
        <v>782</v>
      </c>
      <c r="C127" t="s">
        <v>783</v>
      </c>
      <c r="D127" t="s">
        <v>784</v>
      </c>
      <c r="E127" t="s">
        <v>785</v>
      </c>
      <c r="F127" t="s">
        <v>785</v>
      </c>
      <c r="G127" t="s">
        <v>465</v>
      </c>
      <c r="H127" t="s">
        <v>786</v>
      </c>
      <c r="I127" s="1">
        <f t="shared" si="5"/>
        <v>972</v>
      </c>
      <c r="J127" s="1">
        <f t="shared" si="6"/>
        <v>810</v>
      </c>
      <c r="K127" s="1">
        <f t="shared" si="7"/>
        <v>702</v>
      </c>
      <c r="L127" s="1">
        <f t="shared" si="8"/>
        <v>675</v>
      </c>
      <c r="M127" s="1">
        <f t="shared" si="9"/>
        <v>534.6</v>
      </c>
      <c r="N127" t="s">
        <v>787</v>
      </c>
      <c r="O127">
        <v>8</v>
      </c>
    </row>
    <row r="128" spans="1:15" x14ac:dyDescent="0.25">
      <c r="A128" t="s">
        <v>788</v>
      </c>
      <c r="D128" t="s">
        <v>788</v>
      </c>
      <c r="G128" t="s">
        <v>359</v>
      </c>
      <c r="I128" s="1">
        <f t="shared" si="5"/>
        <v>0</v>
      </c>
      <c r="J128" s="1">
        <f t="shared" si="6"/>
        <v>0</v>
      </c>
      <c r="K128" s="1">
        <f t="shared" si="7"/>
        <v>0</v>
      </c>
      <c r="L128" s="1">
        <f t="shared" si="8"/>
        <v>0</v>
      </c>
      <c r="M128" s="1">
        <f t="shared" si="9"/>
        <v>0</v>
      </c>
      <c r="N128" t="s">
        <v>789</v>
      </c>
      <c r="O128">
        <v>8</v>
      </c>
    </row>
    <row r="129" spans="1:15" x14ac:dyDescent="0.25">
      <c r="A129" t="s">
        <v>790</v>
      </c>
      <c r="B129" t="s">
        <v>791</v>
      </c>
      <c r="C129" t="s">
        <v>792</v>
      </c>
      <c r="D129" t="s">
        <v>793</v>
      </c>
      <c r="E129" t="s">
        <v>794</v>
      </c>
      <c r="F129" t="s">
        <v>794</v>
      </c>
      <c r="G129" t="s">
        <v>246</v>
      </c>
      <c r="I129" s="1">
        <f t="shared" si="5"/>
        <v>0</v>
      </c>
      <c r="J129" s="1">
        <f t="shared" si="6"/>
        <v>0</v>
      </c>
      <c r="K129" s="1">
        <f t="shared" si="7"/>
        <v>0</v>
      </c>
      <c r="L129" s="1">
        <f t="shared" si="8"/>
        <v>0</v>
      </c>
      <c r="M129" s="1">
        <f t="shared" si="9"/>
        <v>0</v>
      </c>
      <c r="N129" t="s">
        <v>795</v>
      </c>
      <c r="O129">
        <v>8</v>
      </c>
    </row>
    <row r="130" spans="1:15" x14ac:dyDescent="0.25">
      <c r="A130" t="s">
        <v>796</v>
      </c>
      <c r="B130" t="s">
        <v>797</v>
      </c>
      <c r="C130" t="s">
        <v>798</v>
      </c>
      <c r="D130" t="s">
        <v>799</v>
      </c>
      <c r="E130" t="s">
        <v>800</v>
      </c>
      <c r="F130" t="s">
        <v>800</v>
      </c>
      <c r="G130" t="s">
        <v>801</v>
      </c>
      <c r="I130" s="1">
        <f t="shared" si="5"/>
        <v>0</v>
      </c>
      <c r="J130" s="1">
        <f t="shared" si="6"/>
        <v>0</v>
      </c>
      <c r="K130" s="1">
        <f t="shared" si="7"/>
        <v>0</v>
      </c>
      <c r="L130" s="1">
        <f t="shared" si="8"/>
        <v>0</v>
      </c>
      <c r="M130" s="1">
        <f t="shared" si="9"/>
        <v>0</v>
      </c>
      <c r="N130" t="s">
        <v>802</v>
      </c>
      <c r="O130">
        <v>8</v>
      </c>
    </row>
    <row r="131" spans="1:15" x14ac:dyDescent="0.25">
      <c r="A131" t="s">
        <v>803</v>
      </c>
      <c r="B131" t="s">
        <v>804</v>
      </c>
      <c r="D131" t="s">
        <v>805</v>
      </c>
      <c r="E131" t="s">
        <v>806</v>
      </c>
      <c r="F131" t="s">
        <v>806</v>
      </c>
      <c r="G131" t="s">
        <v>807</v>
      </c>
      <c r="I131" s="1">
        <f t="shared" ref="I131:I135" si="10">H131*1.8</f>
        <v>0</v>
      </c>
      <c r="J131" s="1">
        <f t="shared" ref="J131:J135" si="11">H131*1.5</f>
        <v>0</v>
      </c>
      <c r="K131" s="1">
        <f t="shared" ref="K131:K135" si="12">H131*1.3</f>
        <v>0</v>
      </c>
      <c r="L131" s="1">
        <f t="shared" ref="L131:L135" si="13">H131*1.25</f>
        <v>0</v>
      </c>
      <c r="M131" s="1">
        <f t="shared" ref="M131:M135" si="14">H131*0.99</f>
        <v>0</v>
      </c>
      <c r="N131" t="s">
        <v>808</v>
      </c>
      <c r="O131">
        <v>8</v>
      </c>
    </row>
    <row r="132" spans="1:15" x14ac:dyDescent="0.25">
      <c r="A132" t="s">
        <v>110</v>
      </c>
      <c r="D132" t="s">
        <v>110</v>
      </c>
      <c r="G132" t="s">
        <v>111</v>
      </c>
      <c r="I132" s="1">
        <f t="shared" si="10"/>
        <v>0</v>
      </c>
      <c r="J132" s="1">
        <f t="shared" si="11"/>
        <v>0</v>
      </c>
      <c r="K132" s="1">
        <f t="shared" si="12"/>
        <v>0</v>
      </c>
      <c r="L132" s="1">
        <f t="shared" si="13"/>
        <v>0</v>
      </c>
      <c r="M132" s="1">
        <f t="shared" si="14"/>
        <v>0</v>
      </c>
      <c r="N132" t="s">
        <v>112</v>
      </c>
      <c r="O132">
        <v>5</v>
      </c>
    </row>
    <row r="133" spans="1:15" x14ac:dyDescent="0.25">
      <c r="A133" t="s">
        <v>260</v>
      </c>
      <c r="G133" t="s">
        <v>261</v>
      </c>
      <c r="I133" s="1">
        <f t="shared" si="10"/>
        <v>0</v>
      </c>
      <c r="J133" s="1">
        <f t="shared" si="11"/>
        <v>0</v>
      </c>
      <c r="K133" s="1">
        <f t="shared" si="12"/>
        <v>0</v>
      </c>
      <c r="L133" s="1">
        <f t="shared" si="13"/>
        <v>0</v>
      </c>
      <c r="M133" s="1">
        <f t="shared" si="14"/>
        <v>0</v>
      </c>
      <c r="N133" t="s">
        <v>262</v>
      </c>
      <c r="O133">
        <v>5</v>
      </c>
    </row>
    <row r="134" spans="1:15" x14ac:dyDescent="0.25">
      <c r="A134" t="s">
        <v>175</v>
      </c>
      <c r="D134" t="s">
        <v>176</v>
      </c>
      <c r="E134" t="s">
        <v>177</v>
      </c>
      <c r="F134" t="s">
        <v>177</v>
      </c>
      <c r="G134" t="s">
        <v>178</v>
      </c>
      <c r="H134">
        <v>225</v>
      </c>
      <c r="I134" s="1">
        <f t="shared" si="10"/>
        <v>405</v>
      </c>
      <c r="J134" s="1">
        <f t="shared" si="11"/>
        <v>337.5</v>
      </c>
      <c r="K134" s="1">
        <f t="shared" si="12"/>
        <v>292.5</v>
      </c>
      <c r="L134" s="1">
        <f t="shared" si="13"/>
        <v>281.25</v>
      </c>
      <c r="M134" s="1">
        <f t="shared" si="14"/>
        <v>222.75</v>
      </c>
      <c r="N134" t="s">
        <v>179</v>
      </c>
      <c r="O134">
        <v>0</v>
      </c>
    </row>
    <row r="135" spans="1:15" x14ac:dyDescent="0.25">
      <c r="A135" t="s">
        <v>627</v>
      </c>
      <c r="D135" t="s">
        <v>627</v>
      </c>
      <c r="G135" t="s">
        <v>628</v>
      </c>
      <c r="H135">
        <v>1350</v>
      </c>
      <c r="I135" s="1">
        <f t="shared" si="10"/>
        <v>2430</v>
      </c>
      <c r="J135" s="1">
        <f t="shared" si="11"/>
        <v>2025</v>
      </c>
      <c r="K135" s="1">
        <f t="shared" si="12"/>
        <v>1755</v>
      </c>
      <c r="L135" s="1">
        <f t="shared" si="13"/>
        <v>1687.5</v>
      </c>
      <c r="M135" s="1">
        <f t="shared" si="14"/>
        <v>1336.5</v>
      </c>
      <c r="N135" t="s">
        <v>629</v>
      </c>
      <c r="O135">
        <v>0</v>
      </c>
    </row>
    <row r="136" spans="1:15" x14ac:dyDescent="0.25">
      <c r="I136" s="1">
        <f>SUM(I2:I135)</f>
        <v>105044.4</v>
      </c>
      <c r="J136" s="1">
        <f t="shared" ref="J136:M136" si="15">SUM(J2:J135)</f>
        <v>87537</v>
      </c>
      <c r="K136" s="1">
        <f t="shared" si="15"/>
        <v>75865.399999999994</v>
      </c>
      <c r="L136" s="1">
        <f t="shared" si="15"/>
        <v>72947.5</v>
      </c>
      <c r="M136" s="1">
        <f t="shared" si="15"/>
        <v>57774.420000000013</v>
      </c>
    </row>
  </sheetData>
  <sortState xmlns:xlrd2="http://schemas.microsoft.com/office/spreadsheetml/2017/richdata2" ref="A2:O135">
    <sortCondition descending="1" ref="O1:O13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Wiglesworth</cp:lastModifiedBy>
  <dcterms:created xsi:type="dcterms:W3CDTF">2026-05-20T21:40:32Z</dcterms:created>
  <dcterms:modified xsi:type="dcterms:W3CDTF">2026-05-20T22:13:01Z</dcterms:modified>
</cp:coreProperties>
</file>